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MyPC One Pro L\Downloads\"/>
    </mc:Choice>
  </mc:AlternateContent>
  <xr:revisionPtr revIDLastSave="0" documentId="13_ncr:1_{8D1435FD-6BCD-4917-A6AF-F1FEFDEF480E}" xr6:coauthVersionLast="47" xr6:coauthVersionMax="47" xr10:uidLastSave="{00000000-0000-0000-0000-000000000000}"/>
  <bookViews>
    <workbookView xWindow="-120" yWindow="-120" windowWidth="29040" windowHeight="16440" xr2:uid="{13A8DBDF-2C55-47FD-B676-DC54F2AC8F47}"/>
  </bookViews>
  <sheets>
    <sheet name="APRIL" sheetId="34" r:id="rId1"/>
    <sheet name="Rekap Bulanan" sheetId="17" state="hidden" r:id="rId2"/>
  </sheets>
  <definedNames>
    <definedName name="_xlnm.Print_Area" localSheetId="0">APRIL!$A$1:$AW$259</definedName>
  </definedNames>
  <calcPr calcId="181029"/>
  <fileRecoveryPr autoRecover="0"/>
</workbook>
</file>

<file path=xl/calcChain.xml><?xml version="1.0" encoding="utf-8"?>
<calcChain xmlns="http://schemas.openxmlformats.org/spreadsheetml/2006/main">
  <c r="A195" i="34" l="1"/>
  <c r="AS183" i="34"/>
  <c r="AR183" i="34"/>
  <c r="AQ183" i="34"/>
  <c r="AP183" i="34"/>
  <c r="AO183" i="34"/>
  <c r="AN183" i="34"/>
  <c r="Z248" i="34" s="1"/>
  <c r="AM183" i="34"/>
  <c r="Y248" i="34" s="1"/>
  <c r="AL183" i="34"/>
  <c r="X248" i="34" s="1"/>
  <c r="AS182" i="34"/>
  <c r="AR182" i="34"/>
  <c r="AQ182" i="34"/>
  <c r="AP182" i="34"/>
  <c r="AO182" i="34"/>
  <c r="AN182" i="34"/>
  <c r="Z247" i="34" s="1"/>
  <c r="AM182" i="34"/>
  <c r="Y247" i="34" s="1"/>
  <c r="AL182" i="34"/>
  <c r="X247" i="34" s="1"/>
  <c r="AS181" i="34"/>
  <c r="AR181" i="34"/>
  <c r="AQ181" i="34"/>
  <c r="AP181" i="34"/>
  <c r="AO181" i="34"/>
  <c r="AN181" i="34"/>
  <c r="Z246" i="34" s="1"/>
  <c r="AM181" i="34"/>
  <c r="Y246" i="34" s="1"/>
  <c r="AL181" i="34"/>
  <c r="X246" i="34" s="1"/>
  <c r="AS180" i="34"/>
  <c r="AR180" i="34"/>
  <c r="AQ180" i="34"/>
  <c r="AP180" i="34"/>
  <c r="AO180" i="34"/>
  <c r="AN180" i="34"/>
  <c r="Z245" i="34" s="1"/>
  <c r="AM180" i="34"/>
  <c r="Y245" i="34" s="1"/>
  <c r="AL180" i="34"/>
  <c r="X245" i="34" s="1"/>
  <c r="AS179" i="34"/>
  <c r="AR179" i="34"/>
  <c r="AQ179" i="34"/>
  <c r="AP179" i="34"/>
  <c r="AO179" i="34"/>
  <c r="AN179" i="34"/>
  <c r="Z244" i="34" s="1"/>
  <c r="AM179" i="34"/>
  <c r="Y244" i="34" s="1"/>
  <c r="AL179" i="34"/>
  <c r="X244" i="34" s="1"/>
  <c r="AS178" i="34"/>
  <c r="AR178" i="34"/>
  <c r="AQ178" i="34"/>
  <c r="AP178" i="34"/>
  <c r="AO178" i="34"/>
  <c r="AN178" i="34"/>
  <c r="Z243" i="34" s="1"/>
  <c r="AM178" i="34"/>
  <c r="Y243" i="34" s="1"/>
  <c r="AL178" i="34"/>
  <c r="X243" i="34" s="1"/>
  <c r="AS177" i="34"/>
  <c r="AR177" i="34"/>
  <c r="AQ177" i="34"/>
  <c r="AP177" i="34"/>
  <c r="AO177" i="34"/>
  <c r="AN177" i="34"/>
  <c r="Z242" i="34" s="1"/>
  <c r="AM177" i="34"/>
  <c r="Y242" i="34" s="1"/>
  <c r="AL177" i="34"/>
  <c r="X242" i="34" s="1"/>
  <c r="AS176" i="34"/>
  <c r="AR176" i="34"/>
  <c r="AQ176" i="34"/>
  <c r="AP176" i="34"/>
  <c r="AO176" i="34"/>
  <c r="AN176" i="34"/>
  <c r="Z241" i="34" s="1"/>
  <c r="AM176" i="34"/>
  <c r="Y241" i="34" s="1"/>
  <c r="AL176" i="34"/>
  <c r="X241" i="34" s="1"/>
  <c r="AS175" i="34"/>
  <c r="AR175" i="34"/>
  <c r="AQ175" i="34"/>
  <c r="AP175" i="34"/>
  <c r="AO175" i="34"/>
  <c r="AN175" i="34"/>
  <c r="Z240" i="34" s="1"/>
  <c r="AM175" i="34"/>
  <c r="Y240" i="34" s="1"/>
  <c r="AL175" i="34"/>
  <c r="X240" i="34" s="1"/>
  <c r="AS174" i="34"/>
  <c r="AR174" i="34"/>
  <c r="AQ174" i="34"/>
  <c r="AP174" i="34"/>
  <c r="AO174" i="34"/>
  <c r="AN174" i="34"/>
  <c r="Z239" i="34" s="1"/>
  <c r="AM174" i="34"/>
  <c r="Y239" i="34" s="1"/>
  <c r="AL174" i="34"/>
  <c r="X239" i="34" s="1"/>
  <c r="AS173" i="34"/>
  <c r="AR173" i="34"/>
  <c r="AQ173" i="34"/>
  <c r="AP173" i="34"/>
  <c r="AO173" i="34"/>
  <c r="AN173" i="34"/>
  <c r="Z238" i="34" s="1"/>
  <c r="AM173" i="34"/>
  <c r="Y238" i="34" s="1"/>
  <c r="AL173" i="34"/>
  <c r="X238" i="34" s="1"/>
  <c r="AS172" i="34"/>
  <c r="AR172" i="34"/>
  <c r="AQ172" i="34"/>
  <c r="AP172" i="34"/>
  <c r="AO172" i="34"/>
  <c r="AN172" i="34"/>
  <c r="Z237" i="34" s="1"/>
  <c r="AM172" i="34"/>
  <c r="Y237" i="34" s="1"/>
  <c r="AL172" i="34"/>
  <c r="X237" i="34" s="1"/>
  <c r="AS171" i="34"/>
  <c r="AR171" i="34"/>
  <c r="AQ171" i="34"/>
  <c r="AP171" i="34"/>
  <c r="AO171" i="34"/>
  <c r="AN171" i="34"/>
  <c r="Z236" i="34" s="1"/>
  <c r="AM171" i="34"/>
  <c r="Y236" i="34" s="1"/>
  <c r="AL171" i="34"/>
  <c r="X236" i="34" s="1"/>
  <c r="AS170" i="34"/>
  <c r="AR170" i="34"/>
  <c r="AQ170" i="34"/>
  <c r="AP170" i="34"/>
  <c r="AO170" i="34"/>
  <c r="AN170" i="34"/>
  <c r="Z235" i="34" s="1"/>
  <c r="AM170" i="34"/>
  <c r="Y235" i="34" s="1"/>
  <c r="AL170" i="34"/>
  <c r="X235" i="34" s="1"/>
  <c r="AS169" i="34"/>
  <c r="AR169" i="34"/>
  <c r="AQ169" i="34"/>
  <c r="AP169" i="34"/>
  <c r="AO169" i="34"/>
  <c r="AN169" i="34"/>
  <c r="Z234" i="34" s="1"/>
  <c r="AM169" i="34"/>
  <c r="Y234" i="34" s="1"/>
  <c r="AL169" i="34"/>
  <c r="X234" i="34" s="1"/>
  <c r="AS168" i="34"/>
  <c r="AR168" i="34"/>
  <c r="AQ168" i="34"/>
  <c r="AP168" i="34"/>
  <c r="AO168" i="34"/>
  <c r="AN168" i="34"/>
  <c r="Z233" i="34" s="1"/>
  <c r="AM168" i="34"/>
  <c r="Y233" i="34" s="1"/>
  <c r="AL168" i="34"/>
  <c r="X233" i="34" s="1"/>
  <c r="AS167" i="34"/>
  <c r="AR167" i="34"/>
  <c r="AQ167" i="34"/>
  <c r="AP167" i="34"/>
  <c r="AO167" i="34"/>
  <c r="AN167" i="34"/>
  <c r="Z232" i="34" s="1"/>
  <c r="AM167" i="34"/>
  <c r="Y232" i="34" s="1"/>
  <c r="AL167" i="34"/>
  <c r="X232" i="34" s="1"/>
  <c r="AS166" i="34"/>
  <c r="AR166" i="34"/>
  <c r="AQ166" i="34"/>
  <c r="AP166" i="34"/>
  <c r="AO166" i="34"/>
  <c r="AN166" i="34"/>
  <c r="Z231" i="34" s="1"/>
  <c r="AM166" i="34"/>
  <c r="Y231" i="34" s="1"/>
  <c r="AL166" i="34"/>
  <c r="X231" i="34" s="1"/>
  <c r="AS165" i="34"/>
  <c r="AR165" i="34"/>
  <c r="AQ165" i="34"/>
  <c r="AP165" i="34"/>
  <c r="AO165" i="34"/>
  <c r="AN165" i="34"/>
  <c r="Z230" i="34" s="1"/>
  <c r="AM165" i="34"/>
  <c r="Y230" i="34" s="1"/>
  <c r="AL165" i="34"/>
  <c r="X230" i="34" s="1"/>
  <c r="AS164" i="34"/>
  <c r="AR164" i="34"/>
  <c r="AQ164" i="34"/>
  <c r="AP164" i="34"/>
  <c r="AO164" i="34"/>
  <c r="AN164" i="34"/>
  <c r="Z229" i="34" s="1"/>
  <c r="AM164" i="34"/>
  <c r="Y229" i="34" s="1"/>
  <c r="AL164" i="34"/>
  <c r="X229" i="34" s="1"/>
  <c r="AS163" i="34"/>
  <c r="AR163" i="34"/>
  <c r="AQ163" i="34"/>
  <c r="AP163" i="34"/>
  <c r="AO163" i="34"/>
  <c r="AN163" i="34"/>
  <c r="Z228" i="34" s="1"/>
  <c r="AM163" i="34"/>
  <c r="Y228" i="34" s="1"/>
  <c r="AL163" i="34"/>
  <c r="X228" i="34" s="1"/>
  <c r="AS162" i="34"/>
  <c r="AR162" i="34"/>
  <c r="AQ162" i="34"/>
  <c r="AP162" i="34"/>
  <c r="AO162" i="34"/>
  <c r="AN162" i="34"/>
  <c r="Z227" i="34" s="1"/>
  <c r="AM162" i="34"/>
  <c r="Y227" i="34" s="1"/>
  <c r="AL162" i="34"/>
  <c r="X227" i="34" s="1"/>
  <c r="AS161" i="34"/>
  <c r="AR161" i="34"/>
  <c r="AQ161" i="34"/>
  <c r="AP161" i="34"/>
  <c r="AO161" i="34"/>
  <c r="AN161" i="34"/>
  <c r="Z226" i="34" s="1"/>
  <c r="AM161" i="34"/>
  <c r="Y226" i="34" s="1"/>
  <c r="AL161" i="34"/>
  <c r="X226" i="34" s="1"/>
  <c r="AS160" i="34"/>
  <c r="AR160" i="34"/>
  <c r="AQ160" i="34"/>
  <c r="AP160" i="34"/>
  <c r="AO160" i="34"/>
  <c r="AN160" i="34"/>
  <c r="Z225" i="34" s="1"/>
  <c r="AM160" i="34"/>
  <c r="Y225" i="34" s="1"/>
  <c r="AL160" i="34"/>
  <c r="X225" i="34" s="1"/>
  <c r="AS159" i="34"/>
  <c r="AR159" i="34"/>
  <c r="AQ159" i="34"/>
  <c r="AP159" i="34"/>
  <c r="AO159" i="34"/>
  <c r="AN159" i="34"/>
  <c r="Z224" i="34" s="1"/>
  <c r="AM159" i="34"/>
  <c r="Y224" i="34" s="1"/>
  <c r="AL159" i="34"/>
  <c r="X224" i="34" s="1"/>
  <c r="AS158" i="34"/>
  <c r="AR158" i="34"/>
  <c r="AQ158" i="34"/>
  <c r="AP158" i="34"/>
  <c r="AO158" i="34"/>
  <c r="AN158" i="34"/>
  <c r="Z223" i="34" s="1"/>
  <c r="AM158" i="34"/>
  <c r="Y223" i="34" s="1"/>
  <c r="AL158" i="34"/>
  <c r="X223" i="34" s="1"/>
  <c r="AS157" i="34"/>
  <c r="AR157" i="34"/>
  <c r="AQ157" i="34"/>
  <c r="AP157" i="34"/>
  <c r="AO157" i="34"/>
  <c r="AN157" i="34"/>
  <c r="Z222" i="34" s="1"/>
  <c r="AM157" i="34"/>
  <c r="Y222" i="34" s="1"/>
  <c r="AL157" i="34"/>
  <c r="X222" i="34" s="1"/>
  <c r="AS156" i="34"/>
  <c r="AR156" i="34"/>
  <c r="AQ156" i="34"/>
  <c r="AP156" i="34"/>
  <c r="AO156" i="34"/>
  <c r="AN156" i="34"/>
  <c r="Z221" i="34" s="1"/>
  <c r="AM156" i="34"/>
  <c r="Y221" i="34" s="1"/>
  <c r="AL156" i="34"/>
  <c r="X221" i="34" s="1"/>
  <c r="AS155" i="34"/>
  <c r="AR155" i="34"/>
  <c r="AQ155" i="34"/>
  <c r="AP155" i="34"/>
  <c r="AO155" i="34"/>
  <c r="AN155" i="34"/>
  <c r="Z220" i="34" s="1"/>
  <c r="AM155" i="34"/>
  <c r="Y220" i="34" s="1"/>
  <c r="AL155" i="34"/>
  <c r="X220" i="34" s="1"/>
  <c r="AS154" i="34"/>
  <c r="AR154" i="34"/>
  <c r="AQ154" i="34"/>
  <c r="AP154" i="34"/>
  <c r="AO154" i="34"/>
  <c r="AN154" i="34"/>
  <c r="Z219" i="34" s="1"/>
  <c r="AM154" i="34"/>
  <c r="Y219" i="34" s="1"/>
  <c r="AL154" i="34"/>
  <c r="X219" i="34" s="1"/>
  <c r="AS153" i="34"/>
  <c r="AR153" i="34"/>
  <c r="AQ153" i="34"/>
  <c r="AP153" i="34"/>
  <c r="AO153" i="34"/>
  <c r="AN153" i="34"/>
  <c r="Z218" i="34" s="1"/>
  <c r="AM153" i="34"/>
  <c r="Y218" i="34" s="1"/>
  <c r="AL153" i="34"/>
  <c r="X218" i="34" s="1"/>
  <c r="AS152" i="34"/>
  <c r="AR152" i="34"/>
  <c r="AQ152" i="34"/>
  <c r="AP152" i="34"/>
  <c r="AO152" i="34"/>
  <c r="AN152" i="34"/>
  <c r="Z217" i="34" s="1"/>
  <c r="AM152" i="34"/>
  <c r="Y217" i="34" s="1"/>
  <c r="AL152" i="34"/>
  <c r="X217" i="34" s="1"/>
  <c r="AS151" i="34"/>
  <c r="AR151" i="34"/>
  <c r="AQ151" i="34"/>
  <c r="AP151" i="34"/>
  <c r="AO151" i="34"/>
  <c r="AN151" i="34"/>
  <c r="Z216" i="34" s="1"/>
  <c r="AM151" i="34"/>
  <c r="Y216" i="34" s="1"/>
  <c r="AL151" i="34"/>
  <c r="X216" i="34" s="1"/>
  <c r="AS150" i="34"/>
  <c r="AR150" i="34"/>
  <c r="AQ150" i="34"/>
  <c r="AP150" i="34"/>
  <c r="AO150" i="34"/>
  <c r="AN150" i="34"/>
  <c r="Z215" i="34" s="1"/>
  <c r="AM150" i="34"/>
  <c r="Y215" i="34" s="1"/>
  <c r="AL150" i="34"/>
  <c r="X215" i="34" s="1"/>
  <c r="AS149" i="34"/>
  <c r="AR149" i="34"/>
  <c r="AQ149" i="34"/>
  <c r="AP149" i="34"/>
  <c r="AO149" i="34"/>
  <c r="AN149" i="34"/>
  <c r="Z214" i="34" s="1"/>
  <c r="AM149" i="34"/>
  <c r="Y214" i="34" s="1"/>
  <c r="AL149" i="34"/>
  <c r="X214" i="34" s="1"/>
  <c r="AS148" i="34"/>
  <c r="AR148" i="34"/>
  <c r="AQ148" i="34"/>
  <c r="AP148" i="34"/>
  <c r="AO148" i="34"/>
  <c r="AN148" i="34"/>
  <c r="Z213" i="34" s="1"/>
  <c r="AM148" i="34"/>
  <c r="Y213" i="34" s="1"/>
  <c r="AL148" i="34"/>
  <c r="X213" i="34" s="1"/>
  <c r="AS147" i="34"/>
  <c r="AR147" i="34"/>
  <c r="AQ147" i="34"/>
  <c r="AP147" i="34"/>
  <c r="AO147" i="34"/>
  <c r="AN147" i="34"/>
  <c r="Z212" i="34" s="1"/>
  <c r="AM147" i="34"/>
  <c r="Y212" i="34" s="1"/>
  <c r="AL147" i="34"/>
  <c r="X212" i="34" s="1"/>
  <c r="AS146" i="34"/>
  <c r="AR146" i="34"/>
  <c r="AQ146" i="34"/>
  <c r="AP146" i="34"/>
  <c r="AO146" i="34"/>
  <c r="AN146" i="34"/>
  <c r="Z211" i="34" s="1"/>
  <c r="AM146" i="34"/>
  <c r="Y211" i="34" s="1"/>
  <c r="AL146" i="34"/>
  <c r="X211" i="34" s="1"/>
  <c r="AS145" i="34"/>
  <c r="AR145" i="34"/>
  <c r="AQ145" i="34"/>
  <c r="AP145" i="34"/>
  <c r="AO145" i="34"/>
  <c r="AN145" i="34"/>
  <c r="Z210" i="34" s="1"/>
  <c r="AM145" i="34"/>
  <c r="Y210" i="34" s="1"/>
  <c r="AL145" i="34"/>
  <c r="X210" i="34" s="1"/>
  <c r="AS144" i="34"/>
  <c r="AR144" i="34"/>
  <c r="AQ144" i="34"/>
  <c r="AP144" i="34"/>
  <c r="AO144" i="34"/>
  <c r="AN144" i="34"/>
  <c r="Z209" i="34" s="1"/>
  <c r="AM144" i="34"/>
  <c r="Y209" i="34" s="1"/>
  <c r="AL144" i="34"/>
  <c r="X209" i="34" s="1"/>
  <c r="AS143" i="34"/>
  <c r="AR143" i="34"/>
  <c r="AQ143" i="34"/>
  <c r="AP143" i="34"/>
  <c r="AO143" i="34"/>
  <c r="AN143" i="34"/>
  <c r="Z208" i="34" s="1"/>
  <c r="AM143" i="34"/>
  <c r="Y208" i="34" s="1"/>
  <c r="AL143" i="34"/>
  <c r="X208" i="34" s="1"/>
  <c r="AS142" i="34"/>
  <c r="AR142" i="34"/>
  <c r="AQ142" i="34"/>
  <c r="AP142" i="34"/>
  <c r="AO142" i="34"/>
  <c r="AN142" i="34"/>
  <c r="Z207" i="34" s="1"/>
  <c r="AM142" i="34"/>
  <c r="Y207" i="34" s="1"/>
  <c r="AL142" i="34"/>
  <c r="X207" i="34" s="1"/>
  <c r="AS141" i="34"/>
  <c r="AR141" i="34"/>
  <c r="AQ141" i="34"/>
  <c r="AP141" i="34"/>
  <c r="AO141" i="34"/>
  <c r="AN141" i="34"/>
  <c r="Z206" i="34" s="1"/>
  <c r="AM141" i="34"/>
  <c r="Y206" i="34" s="1"/>
  <c r="AL141" i="34"/>
  <c r="X206" i="34" s="1"/>
  <c r="AS140" i="34"/>
  <c r="AR140" i="34"/>
  <c r="AQ140" i="34"/>
  <c r="AP140" i="34"/>
  <c r="AO140" i="34"/>
  <c r="AN140" i="34"/>
  <c r="Z205" i="34" s="1"/>
  <c r="AM140" i="34"/>
  <c r="Y205" i="34" s="1"/>
  <c r="AL140" i="34"/>
  <c r="X205" i="34" s="1"/>
  <c r="AS139" i="34"/>
  <c r="AR139" i="34"/>
  <c r="AQ139" i="34"/>
  <c r="AP139" i="34"/>
  <c r="AO139" i="34"/>
  <c r="AN139" i="34"/>
  <c r="Z204" i="34" s="1"/>
  <c r="AM139" i="34"/>
  <c r="Y204" i="34" s="1"/>
  <c r="AL139" i="34"/>
  <c r="X204" i="34" s="1"/>
  <c r="AS138" i="34"/>
  <c r="AR138" i="34"/>
  <c r="AQ138" i="34"/>
  <c r="AP138" i="34"/>
  <c r="AO138" i="34"/>
  <c r="AN138" i="34"/>
  <c r="Z203" i="34" s="1"/>
  <c r="AM138" i="34"/>
  <c r="Y203" i="34" s="1"/>
  <c r="AL138" i="34"/>
  <c r="X203" i="34" s="1"/>
  <c r="AS137" i="34"/>
  <c r="AR137" i="34"/>
  <c r="AQ137" i="34"/>
  <c r="AP137" i="34"/>
  <c r="AO137" i="34"/>
  <c r="AN137" i="34"/>
  <c r="Z202" i="34" s="1"/>
  <c r="AM137" i="34"/>
  <c r="Y202" i="34" s="1"/>
  <c r="AL137" i="34"/>
  <c r="X202" i="34" s="1"/>
  <c r="AS136" i="34"/>
  <c r="AR136" i="34"/>
  <c r="AQ136" i="34"/>
  <c r="AP136" i="34"/>
  <c r="AO136" i="34"/>
  <c r="AN136" i="34"/>
  <c r="Z201" i="34" s="1"/>
  <c r="AM136" i="34"/>
  <c r="Y201" i="34" s="1"/>
  <c r="AL136" i="34"/>
  <c r="X201" i="34" s="1"/>
  <c r="AS135" i="34"/>
  <c r="AR135" i="34"/>
  <c r="AQ135" i="34"/>
  <c r="AP135" i="34"/>
  <c r="AO135" i="34"/>
  <c r="AN135" i="34"/>
  <c r="Z200" i="34" s="1"/>
  <c r="AM135" i="34"/>
  <c r="Y200" i="34" s="1"/>
  <c r="AL135" i="34"/>
  <c r="X200" i="34" s="1"/>
  <c r="AS134" i="34"/>
  <c r="AR134" i="34"/>
  <c r="AQ134" i="34"/>
  <c r="AP134" i="34"/>
  <c r="AO134" i="34"/>
  <c r="AN134" i="34"/>
  <c r="Z199" i="34" s="1"/>
  <c r="AM134" i="34"/>
  <c r="Y199" i="34" s="1"/>
  <c r="AL134" i="34"/>
  <c r="X199" i="34" s="1"/>
  <c r="AS119" i="34"/>
  <c r="W248" i="34" s="1"/>
  <c r="AR119" i="34"/>
  <c r="V248" i="34" s="1"/>
  <c r="AQ119" i="34"/>
  <c r="T248" i="34" s="1"/>
  <c r="AP119" i="34"/>
  <c r="U248" i="34" s="1"/>
  <c r="AO119" i="34"/>
  <c r="S248" i="34" s="1"/>
  <c r="AN119" i="34"/>
  <c r="R248" i="34" s="1"/>
  <c r="AH248" i="34" s="1"/>
  <c r="AM119" i="34"/>
  <c r="Q248" i="34" s="1"/>
  <c r="AL119" i="34"/>
  <c r="P248" i="34" s="1"/>
  <c r="AS118" i="34"/>
  <c r="W247" i="34" s="1"/>
  <c r="AR118" i="34"/>
  <c r="V247" i="34" s="1"/>
  <c r="AQ118" i="34"/>
  <c r="T247" i="34" s="1"/>
  <c r="AP118" i="34"/>
  <c r="U247" i="34" s="1"/>
  <c r="AO118" i="34"/>
  <c r="S247" i="34" s="1"/>
  <c r="AN118" i="34"/>
  <c r="R247" i="34" s="1"/>
  <c r="AH247" i="34" s="1"/>
  <c r="AM118" i="34"/>
  <c r="Q247" i="34" s="1"/>
  <c r="AL118" i="34"/>
  <c r="P247" i="34" s="1"/>
  <c r="AS117" i="34"/>
  <c r="W246" i="34" s="1"/>
  <c r="AR117" i="34"/>
  <c r="V246" i="34" s="1"/>
  <c r="AQ117" i="34"/>
  <c r="T246" i="34" s="1"/>
  <c r="AP117" i="34"/>
  <c r="U246" i="34" s="1"/>
  <c r="AO117" i="34"/>
  <c r="S246" i="34" s="1"/>
  <c r="AN117" i="34"/>
  <c r="R246" i="34" s="1"/>
  <c r="AH246" i="34" s="1"/>
  <c r="AM117" i="34"/>
  <c r="Q246" i="34" s="1"/>
  <c r="AL117" i="34"/>
  <c r="P246" i="34" s="1"/>
  <c r="AS116" i="34"/>
  <c r="W245" i="34" s="1"/>
  <c r="AR116" i="34"/>
  <c r="V245" i="34" s="1"/>
  <c r="AQ116" i="34"/>
  <c r="T245" i="34" s="1"/>
  <c r="AP116" i="34"/>
  <c r="U245" i="34" s="1"/>
  <c r="AO116" i="34"/>
  <c r="S245" i="34" s="1"/>
  <c r="AN116" i="34"/>
  <c r="R245" i="34" s="1"/>
  <c r="AM116" i="34"/>
  <c r="Q245" i="34" s="1"/>
  <c r="AL116" i="34"/>
  <c r="P245" i="34" s="1"/>
  <c r="AS115" i="34"/>
  <c r="W244" i="34" s="1"/>
  <c r="AR115" i="34"/>
  <c r="V244" i="34" s="1"/>
  <c r="AQ115" i="34"/>
  <c r="T244" i="34" s="1"/>
  <c r="AP115" i="34"/>
  <c r="U244" i="34" s="1"/>
  <c r="AO115" i="34"/>
  <c r="S244" i="34" s="1"/>
  <c r="AN115" i="34"/>
  <c r="R244" i="34" s="1"/>
  <c r="AH244" i="34" s="1"/>
  <c r="AM115" i="34"/>
  <c r="Q244" i="34" s="1"/>
  <c r="AL115" i="34"/>
  <c r="P244" i="34" s="1"/>
  <c r="AS114" i="34"/>
  <c r="W243" i="34" s="1"/>
  <c r="AR114" i="34"/>
  <c r="V243" i="34" s="1"/>
  <c r="AQ114" i="34"/>
  <c r="T243" i="34" s="1"/>
  <c r="AP114" i="34"/>
  <c r="U243" i="34" s="1"/>
  <c r="AO114" i="34"/>
  <c r="S243" i="34" s="1"/>
  <c r="AN114" i="34"/>
  <c r="R243" i="34" s="1"/>
  <c r="AH243" i="34" s="1"/>
  <c r="AM114" i="34"/>
  <c r="Q243" i="34" s="1"/>
  <c r="AL114" i="34"/>
  <c r="P243" i="34" s="1"/>
  <c r="AS113" i="34"/>
  <c r="W242" i="34" s="1"/>
  <c r="AR113" i="34"/>
  <c r="V242" i="34" s="1"/>
  <c r="AQ113" i="34"/>
  <c r="T242" i="34" s="1"/>
  <c r="AP113" i="34"/>
  <c r="U242" i="34" s="1"/>
  <c r="AO113" i="34"/>
  <c r="S242" i="34" s="1"/>
  <c r="AN113" i="34"/>
  <c r="R242" i="34" s="1"/>
  <c r="AH242" i="34" s="1"/>
  <c r="AM113" i="34"/>
  <c r="Q242" i="34" s="1"/>
  <c r="AL113" i="34"/>
  <c r="P242" i="34" s="1"/>
  <c r="AS112" i="34"/>
  <c r="W241" i="34" s="1"/>
  <c r="AR112" i="34"/>
  <c r="V241" i="34" s="1"/>
  <c r="AQ112" i="34"/>
  <c r="T241" i="34" s="1"/>
  <c r="AP112" i="34"/>
  <c r="U241" i="34" s="1"/>
  <c r="AO112" i="34"/>
  <c r="S241" i="34" s="1"/>
  <c r="AN112" i="34"/>
  <c r="R241" i="34" s="1"/>
  <c r="AH241" i="34" s="1"/>
  <c r="AM112" i="34"/>
  <c r="Q241" i="34" s="1"/>
  <c r="AL112" i="34"/>
  <c r="P241" i="34" s="1"/>
  <c r="AS111" i="34"/>
  <c r="W240" i="34" s="1"/>
  <c r="AR111" i="34"/>
  <c r="V240" i="34" s="1"/>
  <c r="AQ111" i="34"/>
  <c r="T240" i="34" s="1"/>
  <c r="AP111" i="34"/>
  <c r="U240" i="34" s="1"/>
  <c r="AO111" i="34"/>
  <c r="S240" i="34" s="1"/>
  <c r="AN111" i="34"/>
  <c r="R240" i="34" s="1"/>
  <c r="AH240" i="34" s="1"/>
  <c r="AM111" i="34"/>
  <c r="Q240" i="34" s="1"/>
  <c r="AL111" i="34"/>
  <c r="P240" i="34" s="1"/>
  <c r="AS110" i="34"/>
  <c r="W239" i="34" s="1"/>
  <c r="AR110" i="34"/>
  <c r="V239" i="34" s="1"/>
  <c r="AQ110" i="34"/>
  <c r="T239" i="34" s="1"/>
  <c r="AP110" i="34"/>
  <c r="U239" i="34" s="1"/>
  <c r="AO110" i="34"/>
  <c r="S239" i="34" s="1"/>
  <c r="AN110" i="34"/>
  <c r="R239" i="34" s="1"/>
  <c r="AH239" i="34" s="1"/>
  <c r="AM110" i="34"/>
  <c r="Q239" i="34" s="1"/>
  <c r="AL110" i="34"/>
  <c r="P239" i="34" s="1"/>
  <c r="AS109" i="34"/>
  <c r="W238" i="34" s="1"/>
  <c r="AR109" i="34"/>
  <c r="V238" i="34" s="1"/>
  <c r="AQ109" i="34"/>
  <c r="T238" i="34" s="1"/>
  <c r="AP109" i="34"/>
  <c r="U238" i="34" s="1"/>
  <c r="AO109" i="34"/>
  <c r="S238" i="34" s="1"/>
  <c r="AN109" i="34"/>
  <c r="R238" i="34" s="1"/>
  <c r="AH238" i="34" s="1"/>
  <c r="AM109" i="34"/>
  <c r="Q238" i="34" s="1"/>
  <c r="AL109" i="34"/>
  <c r="P238" i="34" s="1"/>
  <c r="AS108" i="34"/>
  <c r="W237" i="34" s="1"/>
  <c r="AR108" i="34"/>
  <c r="V237" i="34" s="1"/>
  <c r="AQ108" i="34"/>
  <c r="T237" i="34" s="1"/>
  <c r="AP108" i="34"/>
  <c r="U237" i="34" s="1"/>
  <c r="AO108" i="34"/>
  <c r="S237" i="34" s="1"/>
  <c r="AN108" i="34"/>
  <c r="R237" i="34" s="1"/>
  <c r="AH237" i="34" s="1"/>
  <c r="AM108" i="34"/>
  <c r="Q237" i="34" s="1"/>
  <c r="AL108" i="34"/>
  <c r="P237" i="34" s="1"/>
  <c r="AS107" i="34"/>
  <c r="W236" i="34" s="1"/>
  <c r="AR107" i="34"/>
  <c r="V236" i="34" s="1"/>
  <c r="AQ107" i="34"/>
  <c r="T236" i="34" s="1"/>
  <c r="AP107" i="34"/>
  <c r="U236" i="34" s="1"/>
  <c r="AO107" i="34"/>
  <c r="S236" i="34" s="1"/>
  <c r="AN107" i="34"/>
  <c r="R236" i="34" s="1"/>
  <c r="AH236" i="34" s="1"/>
  <c r="AM107" i="34"/>
  <c r="Q236" i="34" s="1"/>
  <c r="AL107" i="34"/>
  <c r="P236" i="34" s="1"/>
  <c r="AS106" i="34"/>
  <c r="W235" i="34" s="1"/>
  <c r="AR106" i="34"/>
  <c r="V235" i="34" s="1"/>
  <c r="AQ106" i="34"/>
  <c r="T235" i="34" s="1"/>
  <c r="AP106" i="34"/>
  <c r="U235" i="34" s="1"/>
  <c r="AO106" i="34"/>
  <c r="S235" i="34" s="1"/>
  <c r="AN106" i="34"/>
  <c r="R235" i="34" s="1"/>
  <c r="AH235" i="34" s="1"/>
  <c r="AM106" i="34"/>
  <c r="Q235" i="34" s="1"/>
  <c r="AL106" i="34"/>
  <c r="P235" i="34" s="1"/>
  <c r="AS105" i="34"/>
  <c r="W234" i="34" s="1"/>
  <c r="AR105" i="34"/>
  <c r="V234" i="34" s="1"/>
  <c r="AQ105" i="34"/>
  <c r="T234" i="34" s="1"/>
  <c r="AP105" i="34"/>
  <c r="U234" i="34" s="1"/>
  <c r="AO105" i="34"/>
  <c r="S234" i="34" s="1"/>
  <c r="AN105" i="34"/>
  <c r="R234" i="34" s="1"/>
  <c r="AH234" i="34" s="1"/>
  <c r="AM105" i="34"/>
  <c r="Q234" i="34" s="1"/>
  <c r="AL105" i="34"/>
  <c r="P234" i="34" s="1"/>
  <c r="AS104" i="34"/>
  <c r="W233" i="34" s="1"/>
  <c r="AR104" i="34"/>
  <c r="V233" i="34" s="1"/>
  <c r="AQ104" i="34"/>
  <c r="T233" i="34" s="1"/>
  <c r="AP104" i="34"/>
  <c r="U233" i="34" s="1"/>
  <c r="AO104" i="34"/>
  <c r="S233" i="34" s="1"/>
  <c r="AN104" i="34"/>
  <c r="R233" i="34" s="1"/>
  <c r="AH233" i="34" s="1"/>
  <c r="AM104" i="34"/>
  <c r="Q233" i="34" s="1"/>
  <c r="AL104" i="34"/>
  <c r="P233" i="34" s="1"/>
  <c r="AS103" i="34"/>
  <c r="W232" i="34" s="1"/>
  <c r="AR103" i="34"/>
  <c r="V232" i="34" s="1"/>
  <c r="AQ103" i="34"/>
  <c r="T232" i="34" s="1"/>
  <c r="AP103" i="34"/>
  <c r="U232" i="34" s="1"/>
  <c r="AO103" i="34"/>
  <c r="S232" i="34" s="1"/>
  <c r="AN103" i="34"/>
  <c r="R232" i="34" s="1"/>
  <c r="AH232" i="34" s="1"/>
  <c r="AM103" i="34"/>
  <c r="Q232" i="34" s="1"/>
  <c r="AL103" i="34"/>
  <c r="P232" i="34" s="1"/>
  <c r="AS102" i="34"/>
  <c r="W231" i="34" s="1"/>
  <c r="AR102" i="34"/>
  <c r="V231" i="34" s="1"/>
  <c r="AQ102" i="34"/>
  <c r="T231" i="34" s="1"/>
  <c r="AP102" i="34"/>
  <c r="U231" i="34" s="1"/>
  <c r="AO102" i="34"/>
  <c r="S231" i="34" s="1"/>
  <c r="AN102" i="34"/>
  <c r="R231" i="34" s="1"/>
  <c r="AH231" i="34" s="1"/>
  <c r="AM102" i="34"/>
  <c r="Q231" i="34" s="1"/>
  <c r="AL102" i="34"/>
  <c r="P231" i="34" s="1"/>
  <c r="AS101" i="34"/>
  <c r="W230" i="34" s="1"/>
  <c r="AR101" i="34"/>
  <c r="V230" i="34" s="1"/>
  <c r="AQ101" i="34"/>
  <c r="T230" i="34" s="1"/>
  <c r="AP101" i="34"/>
  <c r="U230" i="34" s="1"/>
  <c r="AO101" i="34"/>
  <c r="S230" i="34" s="1"/>
  <c r="AN101" i="34"/>
  <c r="R230" i="34" s="1"/>
  <c r="AH230" i="34" s="1"/>
  <c r="AM101" i="34"/>
  <c r="Q230" i="34" s="1"/>
  <c r="AL101" i="34"/>
  <c r="P230" i="34" s="1"/>
  <c r="AS100" i="34"/>
  <c r="W229" i="34" s="1"/>
  <c r="AR100" i="34"/>
  <c r="V229" i="34" s="1"/>
  <c r="AQ100" i="34"/>
  <c r="T229" i="34" s="1"/>
  <c r="AP100" i="34"/>
  <c r="U229" i="34" s="1"/>
  <c r="AO100" i="34"/>
  <c r="S229" i="34" s="1"/>
  <c r="AN100" i="34"/>
  <c r="R229" i="34" s="1"/>
  <c r="AH229" i="34" s="1"/>
  <c r="AM100" i="34"/>
  <c r="Q229" i="34" s="1"/>
  <c r="AL100" i="34"/>
  <c r="P229" i="34" s="1"/>
  <c r="AS99" i="34"/>
  <c r="W228" i="34" s="1"/>
  <c r="AR99" i="34"/>
  <c r="V228" i="34" s="1"/>
  <c r="AQ99" i="34"/>
  <c r="T228" i="34" s="1"/>
  <c r="AP99" i="34"/>
  <c r="U228" i="34" s="1"/>
  <c r="AO99" i="34"/>
  <c r="S228" i="34" s="1"/>
  <c r="AN99" i="34"/>
  <c r="R228" i="34" s="1"/>
  <c r="AH228" i="34" s="1"/>
  <c r="AM99" i="34"/>
  <c r="Q228" i="34" s="1"/>
  <c r="AL99" i="34"/>
  <c r="P228" i="34" s="1"/>
  <c r="AS98" i="34"/>
  <c r="W227" i="34" s="1"/>
  <c r="AR98" i="34"/>
  <c r="V227" i="34" s="1"/>
  <c r="AQ98" i="34"/>
  <c r="T227" i="34" s="1"/>
  <c r="AP98" i="34"/>
  <c r="U227" i="34" s="1"/>
  <c r="AO98" i="34"/>
  <c r="S227" i="34" s="1"/>
  <c r="AN98" i="34"/>
  <c r="R227" i="34" s="1"/>
  <c r="AH227" i="34" s="1"/>
  <c r="AM98" i="34"/>
  <c r="Q227" i="34" s="1"/>
  <c r="AL98" i="34"/>
  <c r="P227" i="34" s="1"/>
  <c r="AS97" i="34"/>
  <c r="W226" i="34" s="1"/>
  <c r="AR97" i="34"/>
  <c r="V226" i="34" s="1"/>
  <c r="AQ97" i="34"/>
  <c r="T226" i="34" s="1"/>
  <c r="AP97" i="34"/>
  <c r="U226" i="34" s="1"/>
  <c r="AO97" i="34"/>
  <c r="S226" i="34" s="1"/>
  <c r="AN97" i="34"/>
  <c r="R226" i="34" s="1"/>
  <c r="AH226" i="34" s="1"/>
  <c r="AM97" i="34"/>
  <c r="Q226" i="34" s="1"/>
  <c r="AL97" i="34"/>
  <c r="P226" i="34" s="1"/>
  <c r="AS96" i="34"/>
  <c r="W225" i="34" s="1"/>
  <c r="AR96" i="34"/>
  <c r="V225" i="34" s="1"/>
  <c r="AQ96" i="34"/>
  <c r="T225" i="34" s="1"/>
  <c r="AP96" i="34"/>
  <c r="U225" i="34" s="1"/>
  <c r="AO96" i="34"/>
  <c r="S225" i="34" s="1"/>
  <c r="AN96" i="34"/>
  <c r="R225" i="34" s="1"/>
  <c r="AH225" i="34" s="1"/>
  <c r="AM96" i="34"/>
  <c r="Q225" i="34" s="1"/>
  <c r="AL96" i="34"/>
  <c r="P225" i="34" s="1"/>
  <c r="AS95" i="34"/>
  <c r="W224" i="34" s="1"/>
  <c r="AR95" i="34"/>
  <c r="V224" i="34" s="1"/>
  <c r="AQ95" i="34"/>
  <c r="T224" i="34" s="1"/>
  <c r="AP95" i="34"/>
  <c r="U224" i="34" s="1"/>
  <c r="AO95" i="34"/>
  <c r="S224" i="34" s="1"/>
  <c r="AN95" i="34"/>
  <c r="R224" i="34" s="1"/>
  <c r="AH224" i="34" s="1"/>
  <c r="AM95" i="34"/>
  <c r="Q224" i="34" s="1"/>
  <c r="AL95" i="34"/>
  <c r="P224" i="34" s="1"/>
  <c r="AS94" i="34"/>
  <c r="W223" i="34" s="1"/>
  <c r="AR94" i="34"/>
  <c r="V223" i="34" s="1"/>
  <c r="AQ94" i="34"/>
  <c r="T223" i="34" s="1"/>
  <c r="AP94" i="34"/>
  <c r="U223" i="34" s="1"/>
  <c r="AO94" i="34"/>
  <c r="S223" i="34" s="1"/>
  <c r="AN94" i="34"/>
  <c r="R223" i="34" s="1"/>
  <c r="AH223" i="34" s="1"/>
  <c r="AM94" i="34"/>
  <c r="Q223" i="34" s="1"/>
  <c r="AL94" i="34"/>
  <c r="P223" i="34" s="1"/>
  <c r="AS93" i="34"/>
  <c r="W222" i="34" s="1"/>
  <c r="AR93" i="34"/>
  <c r="V222" i="34" s="1"/>
  <c r="AQ93" i="34"/>
  <c r="T222" i="34" s="1"/>
  <c r="AP93" i="34"/>
  <c r="U222" i="34" s="1"/>
  <c r="AO93" i="34"/>
  <c r="S222" i="34" s="1"/>
  <c r="AN93" i="34"/>
  <c r="R222" i="34" s="1"/>
  <c r="AH222" i="34" s="1"/>
  <c r="AM93" i="34"/>
  <c r="Q222" i="34" s="1"/>
  <c r="AL93" i="34"/>
  <c r="P222" i="34" s="1"/>
  <c r="AS92" i="34"/>
  <c r="W221" i="34" s="1"/>
  <c r="AR92" i="34"/>
  <c r="V221" i="34" s="1"/>
  <c r="AQ92" i="34"/>
  <c r="T221" i="34" s="1"/>
  <c r="AP92" i="34"/>
  <c r="U221" i="34" s="1"/>
  <c r="AO92" i="34"/>
  <c r="S221" i="34" s="1"/>
  <c r="AN92" i="34"/>
  <c r="R221" i="34" s="1"/>
  <c r="AH221" i="34" s="1"/>
  <c r="AM92" i="34"/>
  <c r="Q221" i="34" s="1"/>
  <c r="AL92" i="34"/>
  <c r="P221" i="34" s="1"/>
  <c r="AS91" i="34"/>
  <c r="W220" i="34" s="1"/>
  <c r="AR91" i="34"/>
  <c r="V220" i="34" s="1"/>
  <c r="AQ91" i="34"/>
  <c r="T220" i="34" s="1"/>
  <c r="AP91" i="34"/>
  <c r="U220" i="34" s="1"/>
  <c r="AO91" i="34"/>
  <c r="S220" i="34" s="1"/>
  <c r="AN91" i="34"/>
  <c r="R220" i="34" s="1"/>
  <c r="AH220" i="34" s="1"/>
  <c r="AM91" i="34"/>
  <c r="Q220" i="34" s="1"/>
  <c r="AL91" i="34"/>
  <c r="P220" i="34" s="1"/>
  <c r="AS90" i="34"/>
  <c r="W219" i="34" s="1"/>
  <c r="AR90" i="34"/>
  <c r="V219" i="34" s="1"/>
  <c r="AQ90" i="34"/>
  <c r="T219" i="34" s="1"/>
  <c r="AP90" i="34"/>
  <c r="U219" i="34" s="1"/>
  <c r="AO90" i="34"/>
  <c r="S219" i="34" s="1"/>
  <c r="AN90" i="34"/>
  <c r="R219" i="34" s="1"/>
  <c r="AH219" i="34" s="1"/>
  <c r="AM90" i="34"/>
  <c r="Q219" i="34" s="1"/>
  <c r="AL90" i="34"/>
  <c r="P219" i="34" s="1"/>
  <c r="AS89" i="34"/>
  <c r="W218" i="34" s="1"/>
  <c r="AR89" i="34"/>
  <c r="V218" i="34" s="1"/>
  <c r="AQ89" i="34"/>
  <c r="T218" i="34" s="1"/>
  <c r="AP89" i="34"/>
  <c r="U218" i="34" s="1"/>
  <c r="AO89" i="34"/>
  <c r="S218" i="34" s="1"/>
  <c r="AN89" i="34"/>
  <c r="R218" i="34" s="1"/>
  <c r="AH218" i="34" s="1"/>
  <c r="AM89" i="34"/>
  <c r="Q218" i="34" s="1"/>
  <c r="AL89" i="34"/>
  <c r="P218" i="34" s="1"/>
  <c r="AS88" i="34"/>
  <c r="W217" i="34" s="1"/>
  <c r="AR88" i="34"/>
  <c r="V217" i="34" s="1"/>
  <c r="AQ88" i="34"/>
  <c r="T217" i="34" s="1"/>
  <c r="AP88" i="34"/>
  <c r="U217" i="34" s="1"/>
  <c r="AO88" i="34"/>
  <c r="S217" i="34" s="1"/>
  <c r="AN88" i="34"/>
  <c r="R217" i="34" s="1"/>
  <c r="AH217" i="34" s="1"/>
  <c r="AM88" i="34"/>
  <c r="Q217" i="34" s="1"/>
  <c r="AL88" i="34"/>
  <c r="P217" i="34" s="1"/>
  <c r="AS87" i="34"/>
  <c r="W216" i="34" s="1"/>
  <c r="AR87" i="34"/>
  <c r="V216" i="34" s="1"/>
  <c r="AQ87" i="34"/>
  <c r="T216" i="34" s="1"/>
  <c r="AP87" i="34"/>
  <c r="U216" i="34" s="1"/>
  <c r="AO87" i="34"/>
  <c r="S216" i="34" s="1"/>
  <c r="AN87" i="34"/>
  <c r="R216" i="34" s="1"/>
  <c r="AH216" i="34" s="1"/>
  <c r="AM87" i="34"/>
  <c r="Q216" i="34" s="1"/>
  <c r="AL87" i="34"/>
  <c r="P216" i="34" s="1"/>
  <c r="AS86" i="34"/>
  <c r="W215" i="34" s="1"/>
  <c r="AR86" i="34"/>
  <c r="V215" i="34" s="1"/>
  <c r="AQ86" i="34"/>
  <c r="T215" i="34" s="1"/>
  <c r="AP86" i="34"/>
  <c r="U215" i="34" s="1"/>
  <c r="AO86" i="34"/>
  <c r="S215" i="34" s="1"/>
  <c r="AN86" i="34"/>
  <c r="R215" i="34" s="1"/>
  <c r="AH215" i="34" s="1"/>
  <c r="AM86" i="34"/>
  <c r="Q215" i="34" s="1"/>
  <c r="AL86" i="34"/>
  <c r="P215" i="34" s="1"/>
  <c r="AS85" i="34"/>
  <c r="W214" i="34" s="1"/>
  <c r="AR85" i="34"/>
  <c r="V214" i="34" s="1"/>
  <c r="AQ85" i="34"/>
  <c r="T214" i="34" s="1"/>
  <c r="AP85" i="34"/>
  <c r="U214" i="34" s="1"/>
  <c r="AO85" i="34"/>
  <c r="S214" i="34" s="1"/>
  <c r="AN85" i="34"/>
  <c r="R214" i="34" s="1"/>
  <c r="AH214" i="34" s="1"/>
  <c r="AM85" i="34"/>
  <c r="Q214" i="34" s="1"/>
  <c r="AL85" i="34"/>
  <c r="P214" i="34" s="1"/>
  <c r="AS84" i="34"/>
  <c r="W213" i="34" s="1"/>
  <c r="AR84" i="34"/>
  <c r="V213" i="34" s="1"/>
  <c r="AQ84" i="34"/>
  <c r="T213" i="34" s="1"/>
  <c r="AP84" i="34"/>
  <c r="U213" i="34" s="1"/>
  <c r="AO84" i="34"/>
  <c r="S213" i="34" s="1"/>
  <c r="AN84" i="34"/>
  <c r="R213" i="34" s="1"/>
  <c r="AH213" i="34" s="1"/>
  <c r="AM84" i="34"/>
  <c r="Q213" i="34" s="1"/>
  <c r="AL84" i="34"/>
  <c r="P213" i="34" s="1"/>
  <c r="AS83" i="34"/>
  <c r="W212" i="34" s="1"/>
  <c r="AR83" i="34"/>
  <c r="V212" i="34" s="1"/>
  <c r="AQ83" i="34"/>
  <c r="T212" i="34" s="1"/>
  <c r="AP83" i="34"/>
  <c r="U212" i="34" s="1"/>
  <c r="AO83" i="34"/>
  <c r="S212" i="34" s="1"/>
  <c r="AN83" i="34"/>
  <c r="R212" i="34" s="1"/>
  <c r="AH212" i="34" s="1"/>
  <c r="AM83" i="34"/>
  <c r="Q212" i="34" s="1"/>
  <c r="AL83" i="34"/>
  <c r="P212" i="34" s="1"/>
  <c r="AS82" i="34"/>
  <c r="W211" i="34" s="1"/>
  <c r="AR82" i="34"/>
  <c r="V211" i="34" s="1"/>
  <c r="AQ82" i="34"/>
  <c r="T211" i="34" s="1"/>
  <c r="AP82" i="34"/>
  <c r="U211" i="34" s="1"/>
  <c r="AO82" i="34"/>
  <c r="S211" i="34" s="1"/>
  <c r="AN82" i="34"/>
  <c r="R211" i="34" s="1"/>
  <c r="AH211" i="34" s="1"/>
  <c r="AM82" i="34"/>
  <c r="Q211" i="34" s="1"/>
  <c r="AL82" i="34"/>
  <c r="P211" i="34" s="1"/>
  <c r="AS81" i="34"/>
  <c r="W210" i="34" s="1"/>
  <c r="AR81" i="34"/>
  <c r="V210" i="34" s="1"/>
  <c r="AQ81" i="34"/>
  <c r="T210" i="34" s="1"/>
  <c r="AP81" i="34"/>
  <c r="U210" i="34" s="1"/>
  <c r="AO81" i="34"/>
  <c r="S210" i="34" s="1"/>
  <c r="AN81" i="34"/>
  <c r="R210" i="34" s="1"/>
  <c r="AH210" i="34" s="1"/>
  <c r="AM81" i="34"/>
  <c r="Q210" i="34" s="1"/>
  <c r="AL81" i="34"/>
  <c r="P210" i="34" s="1"/>
  <c r="AS80" i="34"/>
  <c r="W209" i="34" s="1"/>
  <c r="AR80" i="34"/>
  <c r="V209" i="34" s="1"/>
  <c r="AQ80" i="34"/>
  <c r="T209" i="34" s="1"/>
  <c r="AP80" i="34"/>
  <c r="U209" i="34" s="1"/>
  <c r="AO80" i="34"/>
  <c r="S209" i="34" s="1"/>
  <c r="AN80" i="34"/>
  <c r="R209" i="34" s="1"/>
  <c r="AH209" i="34" s="1"/>
  <c r="AM80" i="34"/>
  <c r="Q209" i="34" s="1"/>
  <c r="AL80" i="34"/>
  <c r="P209" i="34" s="1"/>
  <c r="AS79" i="34"/>
  <c r="W208" i="34" s="1"/>
  <c r="AR79" i="34"/>
  <c r="V208" i="34" s="1"/>
  <c r="AQ79" i="34"/>
  <c r="T208" i="34" s="1"/>
  <c r="AP79" i="34"/>
  <c r="U208" i="34" s="1"/>
  <c r="AO79" i="34"/>
  <c r="S208" i="34" s="1"/>
  <c r="AN79" i="34"/>
  <c r="R208" i="34" s="1"/>
  <c r="AH208" i="34" s="1"/>
  <c r="AM79" i="34"/>
  <c r="Q208" i="34" s="1"/>
  <c r="AL79" i="34"/>
  <c r="P208" i="34" s="1"/>
  <c r="AS78" i="34"/>
  <c r="W207" i="34" s="1"/>
  <c r="AR78" i="34"/>
  <c r="V207" i="34" s="1"/>
  <c r="AQ78" i="34"/>
  <c r="T207" i="34" s="1"/>
  <c r="AP78" i="34"/>
  <c r="U207" i="34" s="1"/>
  <c r="AO78" i="34"/>
  <c r="S207" i="34" s="1"/>
  <c r="AN78" i="34"/>
  <c r="R207" i="34" s="1"/>
  <c r="AH207" i="34" s="1"/>
  <c r="AM78" i="34"/>
  <c r="Q207" i="34" s="1"/>
  <c r="AL78" i="34"/>
  <c r="P207" i="34" s="1"/>
  <c r="AS77" i="34"/>
  <c r="W206" i="34" s="1"/>
  <c r="AR77" i="34"/>
  <c r="V206" i="34" s="1"/>
  <c r="AQ77" i="34"/>
  <c r="T206" i="34" s="1"/>
  <c r="AP77" i="34"/>
  <c r="U206" i="34" s="1"/>
  <c r="AO77" i="34"/>
  <c r="S206" i="34" s="1"/>
  <c r="AN77" i="34"/>
  <c r="R206" i="34" s="1"/>
  <c r="AH206" i="34" s="1"/>
  <c r="AM77" i="34"/>
  <c r="Q206" i="34" s="1"/>
  <c r="AL77" i="34"/>
  <c r="P206" i="34" s="1"/>
  <c r="AS76" i="34"/>
  <c r="W205" i="34" s="1"/>
  <c r="AR76" i="34"/>
  <c r="V205" i="34" s="1"/>
  <c r="AQ76" i="34"/>
  <c r="T205" i="34" s="1"/>
  <c r="AP76" i="34"/>
  <c r="U205" i="34" s="1"/>
  <c r="AO76" i="34"/>
  <c r="S205" i="34" s="1"/>
  <c r="AN76" i="34"/>
  <c r="R205" i="34" s="1"/>
  <c r="AH205" i="34" s="1"/>
  <c r="AM76" i="34"/>
  <c r="Q205" i="34" s="1"/>
  <c r="AL76" i="34"/>
  <c r="P205" i="34" s="1"/>
  <c r="AS75" i="34"/>
  <c r="W204" i="34" s="1"/>
  <c r="AR75" i="34"/>
  <c r="V204" i="34" s="1"/>
  <c r="AQ75" i="34"/>
  <c r="T204" i="34" s="1"/>
  <c r="AP75" i="34"/>
  <c r="U204" i="34" s="1"/>
  <c r="AO75" i="34"/>
  <c r="S204" i="34" s="1"/>
  <c r="AN75" i="34"/>
  <c r="R204" i="34" s="1"/>
  <c r="AH204" i="34" s="1"/>
  <c r="AM75" i="34"/>
  <c r="Q204" i="34" s="1"/>
  <c r="AL75" i="34"/>
  <c r="P204" i="34" s="1"/>
  <c r="AS74" i="34"/>
  <c r="W203" i="34" s="1"/>
  <c r="AR74" i="34"/>
  <c r="V203" i="34" s="1"/>
  <c r="AQ74" i="34"/>
  <c r="T203" i="34" s="1"/>
  <c r="AP74" i="34"/>
  <c r="U203" i="34" s="1"/>
  <c r="AO74" i="34"/>
  <c r="S203" i="34" s="1"/>
  <c r="AN74" i="34"/>
  <c r="R203" i="34" s="1"/>
  <c r="AH203" i="34" s="1"/>
  <c r="AM74" i="34"/>
  <c r="Q203" i="34" s="1"/>
  <c r="AL74" i="34"/>
  <c r="P203" i="34" s="1"/>
  <c r="AS73" i="34"/>
  <c r="W202" i="34" s="1"/>
  <c r="AR73" i="34"/>
  <c r="V202" i="34" s="1"/>
  <c r="AQ73" i="34"/>
  <c r="T202" i="34" s="1"/>
  <c r="AP73" i="34"/>
  <c r="U202" i="34" s="1"/>
  <c r="AO73" i="34"/>
  <c r="S202" i="34" s="1"/>
  <c r="AN73" i="34"/>
  <c r="R202" i="34" s="1"/>
  <c r="AH202" i="34" s="1"/>
  <c r="AM73" i="34"/>
  <c r="Q202" i="34" s="1"/>
  <c r="AL73" i="34"/>
  <c r="P202" i="34" s="1"/>
  <c r="AS72" i="34"/>
  <c r="W201" i="34" s="1"/>
  <c r="AR72" i="34"/>
  <c r="V201" i="34" s="1"/>
  <c r="AQ72" i="34"/>
  <c r="T201" i="34" s="1"/>
  <c r="AP72" i="34"/>
  <c r="U201" i="34" s="1"/>
  <c r="AO72" i="34"/>
  <c r="S201" i="34" s="1"/>
  <c r="AN72" i="34"/>
  <c r="R201" i="34" s="1"/>
  <c r="AH201" i="34" s="1"/>
  <c r="AM72" i="34"/>
  <c r="Q201" i="34" s="1"/>
  <c r="AL72" i="34"/>
  <c r="P201" i="34" s="1"/>
  <c r="AS71" i="34"/>
  <c r="W200" i="34" s="1"/>
  <c r="AR71" i="34"/>
  <c r="V200" i="34" s="1"/>
  <c r="AQ71" i="34"/>
  <c r="T200" i="34" s="1"/>
  <c r="AP71" i="34"/>
  <c r="U200" i="34" s="1"/>
  <c r="AO71" i="34"/>
  <c r="S200" i="34" s="1"/>
  <c r="AN71" i="34"/>
  <c r="R200" i="34" s="1"/>
  <c r="AH200" i="34" s="1"/>
  <c r="AM71" i="34"/>
  <c r="Q200" i="34" s="1"/>
  <c r="AL71" i="34"/>
  <c r="P200" i="34" s="1"/>
  <c r="AS70" i="34"/>
  <c r="W199" i="34" s="1"/>
  <c r="AR70" i="34"/>
  <c r="V199" i="34" s="1"/>
  <c r="AQ70" i="34"/>
  <c r="T199" i="34" s="1"/>
  <c r="AP70" i="34"/>
  <c r="U199" i="34" s="1"/>
  <c r="AO70" i="34"/>
  <c r="S199" i="34" s="1"/>
  <c r="AN70" i="34"/>
  <c r="R199" i="34" s="1"/>
  <c r="AH199" i="34" s="1"/>
  <c r="AM70" i="34"/>
  <c r="Q199" i="34" s="1"/>
  <c r="AL70" i="34"/>
  <c r="P199" i="34" s="1"/>
  <c r="AS56" i="34"/>
  <c r="O248" i="34" s="1"/>
  <c r="AR56" i="34"/>
  <c r="N248" i="34" s="1"/>
  <c r="AQ56" i="34"/>
  <c r="M248" i="34" s="1"/>
  <c r="AP56" i="34"/>
  <c r="L248" i="34" s="1"/>
  <c r="AO56" i="34"/>
  <c r="K248" i="34" s="1"/>
  <c r="AN56" i="34"/>
  <c r="J248" i="34" s="1"/>
  <c r="AM56" i="34"/>
  <c r="I248" i="34" s="1"/>
  <c r="AL56" i="34"/>
  <c r="H248" i="34" s="1"/>
  <c r="AS55" i="34"/>
  <c r="O247" i="34" s="1"/>
  <c r="AR55" i="34"/>
  <c r="N247" i="34" s="1"/>
  <c r="AQ55" i="34"/>
  <c r="M247" i="34" s="1"/>
  <c r="AP55" i="34"/>
  <c r="L247" i="34" s="1"/>
  <c r="AO55" i="34"/>
  <c r="K247" i="34" s="1"/>
  <c r="AN55" i="34"/>
  <c r="J247" i="34" s="1"/>
  <c r="AM55" i="34"/>
  <c r="I247" i="34" s="1"/>
  <c r="AL55" i="34"/>
  <c r="H247" i="34" s="1"/>
  <c r="AS54" i="34"/>
  <c r="O246" i="34" s="1"/>
  <c r="AR54" i="34"/>
  <c r="N246" i="34" s="1"/>
  <c r="AQ54" i="34"/>
  <c r="M246" i="34" s="1"/>
  <c r="AP54" i="34"/>
  <c r="L246" i="34" s="1"/>
  <c r="AO54" i="34"/>
  <c r="K246" i="34" s="1"/>
  <c r="AN54" i="34"/>
  <c r="J246" i="34" s="1"/>
  <c r="AM54" i="34"/>
  <c r="I246" i="34" s="1"/>
  <c r="AL54" i="34"/>
  <c r="H246" i="34" s="1"/>
  <c r="AS53" i="34"/>
  <c r="O245" i="34" s="1"/>
  <c r="AR53" i="34"/>
  <c r="N245" i="34" s="1"/>
  <c r="AQ53" i="34"/>
  <c r="M245" i="34" s="1"/>
  <c r="AP53" i="34"/>
  <c r="L245" i="34" s="1"/>
  <c r="AO53" i="34"/>
  <c r="K245" i="34" s="1"/>
  <c r="AN53" i="34"/>
  <c r="J245" i="34" s="1"/>
  <c r="AM53" i="34"/>
  <c r="I245" i="34" s="1"/>
  <c r="AL53" i="34"/>
  <c r="H245" i="34" s="1"/>
  <c r="AS52" i="34"/>
  <c r="O244" i="34" s="1"/>
  <c r="AR52" i="34"/>
  <c r="N244" i="34" s="1"/>
  <c r="AQ52" i="34"/>
  <c r="M244" i="34" s="1"/>
  <c r="AP52" i="34"/>
  <c r="L244" i="34" s="1"/>
  <c r="AO52" i="34"/>
  <c r="K244" i="34" s="1"/>
  <c r="AN52" i="34"/>
  <c r="J244" i="34" s="1"/>
  <c r="AM52" i="34"/>
  <c r="I244" i="34" s="1"/>
  <c r="AL52" i="34"/>
  <c r="H244" i="34" s="1"/>
  <c r="AS51" i="34"/>
  <c r="O243" i="34" s="1"/>
  <c r="AR51" i="34"/>
  <c r="N243" i="34" s="1"/>
  <c r="AQ51" i="34"/>
  <c r="M243" i="34" s="1"/>
  <c r="AP51" i="34"/>
  <c r="L243" i="34" s="1"/>
  <c r="AO51" i="34"/>
  <c r="K243" i="34" s="1"/>
  <c r="AN51" i="34"/>
  <c r="J243" i="34" s="1"/>
  <c r="AM51" i="34"/>
  <c r="I243" i="34" s="1"/>
  <c r="AL51" i="34"/>
  <c r="H243" i="34" s="1"/>
  <c r="AS50" i="34"/>
  <c r="O242" i="34" s="1"/>
  <c r="AR50" i="34"/>
  <c r="N242" i="34" s="1"/>
  <c r="AQ50" i="34"/>
  <c r="M242" i="34" s="1"/>
  <c r="AP50" i="34"/>
  <c r="L242" i="34" s="1"/>
  <c r="AO50" i="34"/>
  <c r="K242" i="34" s="1"/>
  <c r="AN50" i="34"/>
  <c r="J242" i="34" s="1"/>
  <c r="AM50" i="34"/>
  <c r="I242" i="34" s="1"/>
  <c r="AL50" i="34"/>
  <c r="H242" i="34" s="1"/>
  <c r="AS49" i="34"/>
  <c r="O241" i="34" s="1"/>
  <c r="AR49" i="34"/>
  <c r="N241" i="34" s="1"/>
  <c r="AQ49" i="34"/>
  <c r="M241" i="34" s="1"/>
  <c r="AP49" i="34"/>
  <c r="L241" i="34" s="1"/>
  <c r="AO49" i="34"/>
  <c r="K241" i="34" s="1"/>
  <c r="AN49" i="34"/>
  <c r="J241" i="34" s="1"/>
  <c r="AM49" i="34"/>
  <c r="I241" i="34" s="1"/>
  <c r="AL49" i="34"/>
  <c r="H241" i="34" s="1"/>
  <c r="AS48" i="34"/>
  <c r="O240" i="34" s="1"/>
  <c r="AR48" i="34"/>
  <c r="N240" i="34" s="1"/>
  <c r="AQ48" i="34"/>
  <c r="M240" i="34" s="1"/>
  <c r="AP48" i="34"/>
  <c r="L240" i="34" s="1"/>
  <c r="AO48" i="34"/>
  <c r="K240" i="34" s="1"/>
  <c r="AN48" i="34"/>
  <c r="J240" i="34" s="1"/>
  <c r="AM48" i="34"/>
  <c r="I240" i="34" s="1"/>
  <c r="AL48" i="34"/>
  <c r="H240" i="34" s="1"/>
  <c r="AS47" i="34"/>
  <c r="O239" i="34" s="1"/>
  <c r="AR47" i="34"/>
  <c r="N239" i="34" s="1"/>
  <c r="AQ47" i="34"/>
  <c r="M239" i="34" s="1"/>
  <c r="AP47" i="34"/>
  <c r="L239" i="34" s="1"/>
  <c r="AO47" i="34"/>
  <c r="K239" i="34" s="1"/>
  <c r="AN47" i="34"/>
  <c r="J239" i="34" s="1"/>
  <c r="AM47" i="34"/>
  <c r="I239" i="34" s="1"/>
  <c r="AL47" i="34"/>
  <c r="H239" i="34" s="1"/>
  <c r="AS46" i="34"/>
  <c r="O238" i="34" s="1"/>
  <c r="AR46" i="34"/>
  <c r="N238" i="34" s="1"/>
  <c r="AQ46" i="34"/>
  <c r="M238" i="34" s="1"/>
  <c r="AP46" i="34"/>
  <c r="L238" i="34" s="1"/>
  <c r="AO46" i="34"/>
  <c r="K238" i="34" s="1"/>
  <c r="AN46" i="34"/>
  <c r="J238" i="34" s="1"/>
  <c r="AM46" i="34"/>
  <c r="I238" i="34" s="1"/>
  <c r="AL46" i="34"/>
  <c r="H238" i="34" s="1"/>
  <c r="AS45" i="34"/>
  <c r="O237" i="34" s="1"/>
  <c r="AR45" i="34"/>
  <c r="N237" i="34" s="1"/>
  <c r="AQ45" i="34"/>
  <c r="M237" i="34" s="1"/>
  <c r="AP45" i="34"/>
  <c r="L237" i="34" s="1"/>
  <c r="AO45" i="34"/>
  <c r="K237" i="34" s="1"/>
  <c r="AN45" i="34"/>
  <c r="J237" i="34" s="1"/>
  <c r="AM45" i="34"/>
  <c r="I237" i="34" s="1"/>
  <c r="AL45" i="34"/>
  <c r="H237" i="34" s="1"/>
  <c r="AS44" i="34"/>
  <c r="O236" i="34" s="1"/>
  <c r="AR44" i="34"/>
  <c r="N236" i="34" s="1"/>
  <c r="AQ44" i="34"/>
  <c r="M236" i="34" s="1"/>
  <c r="AP44" i="34"/>
  <c r="L236" i="34" s="1"/>
  <c r="AO44" i="34"/>
  <c r="K236" i="34" s="1"/>
  <c r="AN44" i="34"/>
  <c r="J236" i="34" s="1"/>
  <c r="AM44" i="34"/>
  <c r="I236" i="34" s="1"/>
  <c r="AL44" i="34"/>
  <c r="H236" i="34" s="1"/>
  <c r="AS43" i="34"/>
  <c r="O235" i="34" s="1"/>
  <c r="AR43" i="34"/>
  <c r="N235" i="34" s="1"/>
  <c r="AQ43" i="34"/>
  <c r="M235" i="34" s="1"/>
  <c r="AP43" i="34"/>
  <c r="L235" i="34" s="1"/>
  <c r="AO43" i="34"/>
  <c r="K235" i="34" s="1"/>
  <c r="AN43" i="34"/>
  <c r="J235" i="34" s="1"/>
  <c r="AM43" i="34"/>
  <c r="I235" i="34" s="1"/>
  <c r="AL43" i="34"/>
  <c r="H235" i="34" s="1"/>
  <c r="AS42" i="34"/>
  <c r="O234" i="34" s="1"/>
  <c r="AR42" i="34"/>
  <c r="N234" i="34" s="1"/>
  <c r="AQ42" i="34"/>
  <c r="M234" i="34" s="1"/>
  <c r="AP42" i="34"/>
  <c r="L234" i="34" s="1"/>
  <c r="AO42" i="34"/>
  <c r="K234" i="34" s="1"/>
  <c r="AN42" i="34"/>
  <c r="J234" i="34" s="1"/>
  <c r="AM42" i="34"/>
  <c r="I234" i="34" s="1"/>
  <c r="AL42" i="34"/>
  <c r="H234" i="34" s="1"/>
  <c r="AS41" i="34"/>
  <c r="O233" i="34" s="1"/>
  <c r="AR41" i="34"/>
  <c r="N233" i="34" s="1"/>
  <c r="AQ41" i="34"/>
  <c r="M233" i="34" s="1"/>
  <c r="AP41" i="34"/>
  <c r="L233" i="34" s="1"/>
  <c r="AO41" i="34"/>
  <c r="K233" i="34" s="1"/>
  <c r="AN41" i="34"/>
  <c r="J233" i="34" s="1"/>
  <c r="AM41" i="34"/>
  <c r="I233" i="34" s="1"/>
  <c r="AL41" i="34"/>
  <c r="H233" i="34" s="1"/>
  <c r="AS40" i="34"/>
  <c r="O232" i="34" s="1"/>
  <c r="AR40" i="34"/>
  <c r="N232" i="34" s="1"/>
  <c r="AQ40" i="34"/>
  <c r="M232" i="34" s="1"/>
  <c r="AP40" i="34"/>
  <c r="L232" i="34" s="1"/>
  <c r="AO40" i="34"/>
  <c r="K232" i="34" s="1"/>
  <c r="AN40" i="34"/>
  <c r="J232" i="34" s="1"/>
  <c r="AM40" i="34"/>
  <c r="I232" i="34" s="1"/>
  <c r="AL40" i="34"/>
  <c r="H232" i="34" s="1"/>
  <c r="AS39" i="34"/>
  <c r="O231" i="34" s="1"/>
  <c r="AR39" i="34"/>
  <c r="N231" i="34" s="1"/>
  <c r="AQ39" i="34"/>
  <c r="M231" i="34" s="1"/>
  <c r="AP39" i="34"/>
  <c r="L231" i="34" s="1"/>
  <c r="AO39" i="34"/>
  <c r="K231" i="34" s="1"/>
  <c r="AN39" i="34"/>
  <c r="J231" i="34" s="1"/>
  <c r="AM39" i="34"/>
  <c r="I231" i="34" s="1"/>
  <c r="AL39" i="34"/>
  <c r="H231" i="34" s="1"/>
  <c r="AS38" i="34"/>
  <c r="O230" i="34" s="1"/>
  <c r="AR38" i="34"/>
  <c r="N230" i="34" s="1"/>
  <c r="AQ38" i="34"/>
  <c r="M230" i="34" s="1"/>
  <c r="AP38" i="34"/>
  <c r="L230" i="34" s="1"/>
  <c r="AO38" i="34"/>
  <c r="K230" i="34" s="1"/>
  <c r="AN38" i="34"/>
  <c r="J230" i="34" s="1"/>
  <c r="AM38" i="34"/>
  <c r="I230" i="34" s="1"/>
  <c r="AL38" i="34"/>
  <c r="H230" i="34" s="1"/>
  <c r="AS37" i="34"/>
  <c r="O229" i="34" s="1"/>
  <c r="AR37" i="34"/>
  <c r="N229" i="34" s="1"/>
  <c r="AQ37" i="34"/>
  <c r="M229" i="34" s="1"/>
  <c r="AP37" i="34"/>
  <c r="L229" i="34" s="1"/>
  <c r="AO37" i="34"/>
  <c r="K229" i="34" s="1"/>
  <c r="AN37" i="34"/>
  <c r="J229" i="34" s="1"/>
  <c r="AM37" i="34"/>
  <c r="I229" i="34" s="1"/>
  <c r="AL37" i="34"/>
  <c r="H229" i="34" s="1"/>
  <c r="AS36" i="34"/>
  <c r="O228" i="34" s="1"/>
  <c r="AR36" i="34"/>
  <c r="N228" i="34" s="1"/>
  <c r="AQ36" i="34"/>
  <c r="M228" i="34" s="1"/>
  <c r="AP36" i="34"/>
  <c r="L228" i="34" s="1"/>
  <c r="AO36" i="34"/>
  <c r="K228" i="34" s="1"/>
  <c r="AN36" i="34"/>
  <c r="J228" i="34" s="1"/>
  <c r="AM36" i="34"/>
  <c r="I228" i="34" s="1"/>
  <c r="AL36" i="34"/>
  <c r="H228" i="34" s="1"/>
  <c r="AS35" i="34"/>
  <c r="O227" i="34" s="1"/>
  <c r="AR35" i="34"/>
  <c r="N227" i="34" s="1"/>
  <c r="AQ35" i="34"/>
  <c r="M227" i="34" s="1"/>
  <c r="AP35" i="34"/>
  <c r="L227" i="34" s="1"/>
  <c r="AO35" i="34"/>
  <c r="K227" i="34" s="1"/>
  <c r="AN35" i="34"/>
  <c r="J227" i="34" s="1"/>
  <c r="AM35" i="34"/>
  <c r="I227" i="34" s="1"/>
  <c r="AL35" i="34"/>
  <c r="H227" i="34" s="1"/>
  <c r="AS34" i="34"/>
  <c r="O226" i="34" s="1"/>
  <c r="AR34" i="34"/>
  <c r="N226" i="34" s="1"/>
  <c r="AQ34" i="34"/>
  <c r="M226" i="34" s="1"/>
  <c r="AP34" i="34"/>
  <c r="L226" i="34" s="1"/>
  <c r="AO34" i="34"/>
  <c r="K226" i="34" s="1"/>
  <c r="AN34" i="34"/>
  <c r="J226" i="34" s="1"/>
  <c r="AM34" i="34"/>
  <c r="I226" i="34" s="1"/>
  <c r="AL34" i="34"/>
  <c r="H226" i="34" s="1"/>
  <c r="AS33" i="34"/>
  <c r="O225" i="34" s="1"/>
  <c r="AR33" i="34"/>
  <c r="N225" i="34" s="1"/>
  <c r="AQ33" i="34"/>
  <c r="M225" i="34" s="1"/>
  <c r="AP33" i="34"/>
  <c r="L225" i="34" s="1"/>
  <c r="AO33" i="34"/>
  <c r="K225" i="34" s="1"/>
  <c r="AN33" i="34"/>
  <c r="J225" i="34" s="1"/>
  <c r="AM33" i="34"/>
  <c r="I225" i="34" s="1"/>
  <c r="AL33" i="34"/>
  <c r="H225" i="34" s="1"/>
  <c r="AS32" i="34"/>
  <c r="O224" i="34" s="1"/>
  <c r="AR32" i="34"/>
  <c r="N224" i="34" s="1"/>
  <c r="AQ32" i="34"/>
  <c r="M224" i="34" s="1"/>
  <c r="AP32" i="34"/>
  <c r="L224" i="34" s="1"/>
  <c r="AO32" i="34"/>
  <c r="K224" i="34" s="1"/>
  <c r="AN32" i="34"/>
  <c r="J224" i="34" s="1"/>
  <c r="AM32" i="34"/>
  <c r="I224" i="34" s="1"/>
  <c r="AL32" i="34"/>
  <c r="H224" i="34" s="1"/>
  <c r="AS31" i="34"/>
  <c r="O223" i="34" s="1"/>
  <c r="AR31" i="34"/>
  <c r="N223" i="34" s="1"/>
  <c r="AQ31" i="34"/>
  <c r="M223" i="34" s="1"/>
  <c r="AP31" i="34"/>
  <c r="L223" i="34" s="1"/>
  <c r="AO31" i="34"/>
  <c r="K223" i="34" s="1"/>
  <c r="AN31" i="34"/>
  <c r="J223" i="34" s="1"/>
  <c r="AM31" i="34"/>
  <c r="I223" i="34" s="1"/>
  <c r="AL31" i="34"/>
  <c r="H223" i="34" s="1"/>
  <c r="AS30" i="34"/>
  <c r="O222" i="34" s="1"/>
  <c r="AR30" i="34"/>
  <c r="N222" i="34" s="1"/>
  <c r="AQ30" i="34"/>
  <c r="M222" i="34" s="1"/>
  <c r="AP30" i="34"/>
  <c r="L222" i="34" s="1"/>
  <c r="AO30" i="34"/>
  <c r="K222" i="34" s="1"/>
  <c r="AN30" i="34"/>
  <c r="J222" i="34" s="1"/>
  <c r="AM30" i="34"/>
  <c r="I222" i="34" s="1"/>
  <c r="AL30" i="34"/>
  <c r="H222" i="34" s="1"/>
  <c r="AS29" i="34"/>
  <c r="O221" i="34" s="1"/>
  <c r="AR29" i="34"/>
  <c r="N221" i="34" s="1"/>
  <c r="AQ29" i="34"/>
  <c r="M221" i="34" s="1"/>
  <c r="AP29" i="34"/>
  <c r="L221" i="34" s="1"/>
  <c r="AO29" i="34"/>
  <c r="K221" i="34" s="1"/>
  <c r="AN29" i="34"/>
  <c r="J221" i="34" s="1"/>
  <c r="AM29" i="34"/>
  <c r="I221" i="34" s="1"/>
  <c r="AL29" i="34"/>
  <c r="H221" i="34" s="1"/>
  <c r="AS28" i="34"/>
  <c r="O220" i="34" s="1"/>
  <c r="AR28" i="34"/>
  <c r="N220" i="34" s="1"/>
  <c r="AQ28" i="34"/>
  <c r="M220" i="34" s="1"/>
  <c r="AP28" i="34"/>
  <c r="L220" i="34" s="1"/>
  <c r="AO28" i="34"/>
  <c r="K220" i="34" s="1"/>
  <c r="AN28" i="34"/>
  <c r="J220" i="34" s="1"/>
  <c r="AM28" i="34"/>
  <c r="I220" i="34" s="1"/>
  <c r="AL28" i="34"/>
  <c r="H220" i="34" s="1"/>
  <c r="AS27" i="34"/>
  <c r="O219" i="34" s="1"/>
  <c r="AR27" i="34"/>
  <c r="N219" i="34" s="1"/>
  <c r="AQ27" i="34"/>
  <c r="M219" i="34" s="1"/>
  <c r="AP27" i="34"/>
  <c r="L219" i="34" s="1"/>
  <c r="AO27" i="34"/>
  <c r="K219" i="34" s="1"/>
  <c r="AN27" i="34"/>
  <c r="J219" i="34" s="1"/>
  <c r="AM27" i="34"/>
  <c r="I219" i="34" s="1"/>
  <c r="AL27" i="34"/>
  <c r="H219" i="34" s="1"/>
  <c r="AS26" i="34"/>
  <c r="O218" i="34" s="1"/>
  <c r="AR26" i="34"/>
  <c r="N218" i="34" s="1"/>
  <c r="AQ26" i="34"/>
  <c r="M218" i="34" s="1"/>
  <c r="AP26" i="34"/>
  <c r="L218" i="34" s="1"/>
  <c r="AO26" i="34"/>
  <c r="K218" i="34" s="1"/>
  <c r="AN26" i="34"/>
  <c r="J218" i="34" s="1"/>
  <c r="AM26" i="34"/>
  <c r="I218" i="34" s="1"/>
  <c r="AL26" i="34"/>
  <c r="H218" i="34" s="1"/>
  <c r="AS25" i="34"/>
  <c r="O217" i="34" s="1"/>
  <c r="AR25" i="34"/>
  <c r="N217" i="34" s="1"/>
  <c r="AQ25" i="34"/>
  <c r="M217" i="34" s="1"/>
  <c r="AP25" i="34"/>
  <c r="L217" i="34" s="1"/>
  <c r="AO25" i="34"/>
  <c r="K217" i="34" s="1"/>
  <c r="AN25" i="34"/>
  <c r="J217" i="34" s="1"/>
  <c r="AM25" i="34"/>
  <c r="I217" i="34" s="1"/>
  <c r="AL25" i="34"/>
  <c r="H217" i="34" s="1"/>
  <c r="AS24" i="34"/>
  <c r="O216" i="34" s="1"/>
  <c r="AR24" i="34"/>
  <c r="N216" i="34" s="1"/>
  <c r="AQ24" i="34"/>
  <c r="M216" i="34" s="1"/>
  <c r="AP24" i="34"/>
  <c r="L216" i="34" s="1"/>
  <c r="AO24" i="34"/>
  <c r="K216" i="34" s="1"/>
  <c r="AN24" i="34"/>
  <c r="J216" i="34" s="1"/>
  <c r="AM24" i="34"/>
  <c r="I216" i="34" s="1"/>
  <c r="AL24" i="34"/>
  <c r="H216" i="34" s="1"/>
  <c r="AS23" i="34"/>
  <c r="O215" i="34" s="1"/>
  <c r="AR23" i="34"/>
  <c r="N215" i="34" s="1"/>
  <c r="AQ23" i="34"/>
  <c r="M215" i="34" s="1"/>
  <c r="AP23" i="34"/>
  <c r="L215" i="34" s="1"/>
  <c r="AO23" i="34"/>
  <c r="K215" i="34" s="1"/>
  <c r="AN23" i="34"/>
  <c r="J215" i="34" s="1"/>
  <c r="AM23" i="34"/>
  <c r="I215" i="34" s="1"/>
  <c r="AL23" i="34"/>
  <c r="H215" i="34" s="1"/>
  <c r="AS22" i="34"/>
  <c r="O214" i="34" s="1"/>
  <c r="AR22" i="34"/>
  <c r="N214" i="34" s="1"/>
  <c r="AQ22" i="34"/>
  <c r="M214" i="34" s="1"/>
  <c r="AP22" i="34"/>
  <c r="L214" i="34" s="1"/>
  <c r="AO22" i="34"/>
  <c r="K214" i="34" s="1"/>
  <c r="AN22" i="34"/>
  <c r="J214" i="34" s="1"/>
  <c r="AM22" i="34"/>
  <c r="I214" i="34" s="1"/>
  <c r="AL22" i="34"/>
  <c r="H214" i="34" s="1"/>
  <c r="AS21" i="34"/>
  <c r="O213" i="34" s="1"/>
  <c r="AR21" i="34"/>
  <c r="N213" i="34" s="1"/>
  <c r="AQ21" i="34"/>
  <c r="M213" i="34" s="1"/>
  <c r="AP21" i="34"/>
  <c r="L213" i="34" s="1"/>
  <c r="AO21" i="34"/>
  <c r="K213" i="34" s="1"/>
  <c r="AN21" i="34"/>
  <c r="J213" i="34" s="1"/>
  <c r="AM21" i="34"/>
  <c r="I213" i="34" s="1"/>
  <c r="AL21" i="34"/>
  <c r="H213" i="34" s="1"/>
  <c r="AS20" i="34"/>
  <c r="O212" i="34" s="1"/>
  <c r="AR20" i="34"/>
  <c r="N212" i="34" s="1"/>
  <c r="AQ20" i="34"/>
  <c r="M212" i="34" s="1"/>
  <c r="AP20" i="34"/>
  <c r="L212" i="34" s="1"/>
  <c r="AO20" i="34"/>
  <c r="K212" i="34" s="1"/>
  <c r="AN20" i="34"/>
  <c r="J212" i="34" s="1"/>
  <c r="AM20" i="34"/>
  <c r="I212" i="34" s="1"/>
  <c r="AL20" i="34"/>
  <c r="H212" i="34" s="1"/>
  <c r="AS19" i="34"/>
  <c r="O211" i="34" s="1"/>
  <c r="AR19" i="34"/>
  <c r="N211" i="34" s="1"/>
  <c r="AQ19" i="34"/>
  <c r="M211" i="34" s="1"/>
  <c r="AP19" i="34"/>
  <c r="L211" i="34" s="1"/>
  <c r="AO19" i="34"/>
  <c r="K211" i="34" s="1"/>
  <c r="AN19" i="34"/>
  <c r="J211" i="34" s="1"/>
  <c r="AM19" i="34"/>
  <c r="I211" i="34" s="1"/>
  <c r="AL19" i="34"/>
  <c r="H211" i="34" s="1"/>
  <c r="AS18" i="34"/>
  <c r="O210" i="34" s="1"/>
  <c r="AR18" i="34"/>
  <c r="N210" i="34" s="1"/>
  <c r="AQ18" i="34"/>
  <c r="M210" i="34" s="1"/>
  <c r="AP18" i="34"/>
  <c r="L210" i="34" s="1"/>
  <c r="AO18" i="34"/>
  <c r="K210" i="34" s="1"/>
  <c r="AN18" i="34"/>
  <c r="J210" i="34" s="1"/>
  <c r="AM18" i="34"/>
  <c r="I210" i="34" s="1"/>
  <c r="AL18" i="34"/>
  <c r="H210" i="34" s="1"/>
  <c r="AS17" i="34"/>
  <c r="O209" i="34" s="1"/>
  <c r="AR17" i="34"/>
  <c r="N209" i="34" s="1"/>
  <c r="AQ17" i="34"/>
  <c r="M209" i="34" s="1"/>
  <c r="AP17" i="34"/>
  <c r="L209" i="34" s="1"/>
  <c r="AO17" i="34"/>
  <c r="K209" i="34" s="1"/>
  <c r="AN17" i="34"/>
  <c r="J209" i="34" s="1"/>
  <c r="AM17" i="34"/>
  <c r="I209" i="34" s="1"/>
  <c r="AL17" i="34"/>
  <c r="H209" i="34" s="1"/>
  <c r="AS16" i="34"/>
  <c r="O208" i="34" s="1"/>
  <c r="AR16" i="34"/>
  <c r="N208" i="34" s="1"/>
  <c r="AQ16" i="34"/>
  <c r="M208" i="34" s="1"/>
  <c r="AP16" i="34"/>
  <c r="L208" i="34" s="1"/>
  <c r="AO16" i="34"/>
  <c r="K208" i="34" s="1"/>
  <c r="AN16" i="34"/>
  <c r="J208" i="34" s="1"/>
  <c r="AM16" i="34"/>
  <c r="I208" i="34" s="1"/>
  <c r="AL16" i="34"/>
  <c r="H208" i="34" s="1"/>
  <c r="AS15" i="34"/>
  <c r="O207" i="34" s="1"/>
  <c r="AR15" i="34"/>
  <c r="N207" i="34" s="1"/>
  <c r="AQ15" i="34"/>
  <c r="M207" i="34" s="1"/>
  <c r="AP15" i="34"/>
  <c r="L207" i="34" s="1"/>
  <c r="AO15" i="34"/>
  <c r="K207" i="34" s="1"/>
  <c r="AN15" i="34"/>
  <c r="J207" i="34" s="1"/>
  <c r="AM15" i="34"/>
  <c r="I207" i="34" s="1"/>
  <c r="AL15" i="34"/>
  <c r="H207" i="34" s="1"/>
  <c r="AS14" i="34"/>
  <c r="O206" i="34" s="1"/>
  <c r="AR14" i="34"/>
  <c r="N206" i="34" s="1"/>
  <c r="AQ14" i="34"/>
  <c r="M206" i="34" s="1"/>
  <c r="AP14" i="34"/>
  <c r="L206" i="34" s="1"/>
  <c r="AO14" i="34"/>
  <c r="K206" i="34" s="1"/>
  <c r="AN14" i="34"/>
  <c r="J206" i="34" s="1"/>
  <c r="AM14" i="34"/>
  <c r="I206" i="34" s="1"/>
  <c r="AL14" i="34"/>
  <c r="H206" i="34" s="1"/>
  <c r="AS13" i="34"/>
  <c r="O205" i="34" s="1"/>
  <c r="AR13" i="34"/>
  <c r="N205" i="34" s="1"/>
  <c r="AQ13" i="34"/>
  <c r="M205" i="34" s="1"/>
  <c r="AP13" i="34"/>
  <c r="L205" i="34" s="1"/>
  <c r="AO13" i="34"/>
  <c r="K205" i="34" s="1"/>
  <c r="AN13" i="34"/>
  <c r="J205" i="34" s="1"/>
  <c r="AM13" i="34"/>
  <c r="I205" i="34" s="1"/>
  <c r="AL13" i="34"/>
  <c r="H205" i="34" s="1"/>
  <c r="AS12" i="34"/>
  <c r="O204" i="34" s="1"/>
  <c r="AR12" i="34"/>
  <c r="N204" i="34" s="1"/>
  <c r="AQ12" i="34"/>
  <c r="M204" i="34" s="1"/>
  <c r="AP12" i="34"/>
  <c r="L204" i="34" s="1"/>
  <c r="AO12" i="34"/>
  <c r="K204" i="34" s="1"/>
  <c r="AN12" i="34"/>
  <c r="J204" i="34" s="1"/>
  <c r="AM12" i="34"/>
  <c r="I204" i="34" s="1"/>
  <c r="AL12" i="34"/>
  <c r="H204" i="34" s="1"/>
  <c r="AS11" i="34"/>
  <c r="O203" i="34" s="1"/>
  <c r="AR11" i="34"/>
  <c r="N203" i="34" s="1"/>
  <c r="AQ11" i="34"/>
  <c r="M203" i="34" s="1"/>
  <c r="AP11" i="34"/>
  <c r="L203" i="34" s="1"/>
  <c r="AO11" i="34"/>
  <c r="K203" i="34" s="1"/>
  <c r="AN11" i="34"/>
  <c r="J203" i="34" s="1"/>
  <c r="AM11" i="34"/>
  <c r="I203" i="34" s="1"/>
  <c r="AL11" i="34"/>
  <c r="H203" i="34" s="1"/>
  <c r="AS10" i="34"/>
  <c r="O202" i="34" s="1"/>
  <c r="AR10" i="34"/>
  <c r="N202" i="34" s="1"/>
  <c r="AQ10" i="34"/>
  <c r="M202" i="34" s="1"/>
  <c r="AP10" i="34"/>
  <c r="L202" i="34" s="1"/>
  <c r="AO10" i="34"/>
  <c r="K202" i="34" s="1"/>
  <c r="AN10" i="34"/>
  <c r="J202" i="34" s="1"/>
  <c r="AM10" i="34"/>
  <c r="I202" i="34" s="1"/>
  <c r="AL10" i="34"/>
  <c r="H202" i="34" s="1"/>
  <c r="AS9" i="34"/>
  <c r="O201" i="34" s="1"/>
  <c r="AR9" i="34"/>
  <c r="N201" i="34" s="1"/>
  <c r="AQ9" i="34"/>
  <c r="M201" i="34" s="1"/>
  <c r="AP9" i="34"/>
  <c r="L201" i="34" s="1"/>
  <c r="AO9" i="34"/>
  <c r="K201" i="34" s="1"/>
  <c r="AN9" i="34"/>
  <c r="J201" i="34" s="1"/>
  <c r="AM9" i="34"/>
  <c r="I201" i="34" s="1"/>
  <c r="AL9" i="34"/>
  <c r="H201" i="34" s="1"/>
  <c r="AS8" i="34"/>
  <c r="O200" i="34" s="1"/>
  <c r="AR8" i="34"/>
  <c r="N200" i="34" s="1"/>
  <c r="AQ8" i="34"/>
  <c r="M200" i="34" s="1"/>
  <c r="AP8" i="34"/>
  <c r="L200" i="34" s="1"/>
  <c r="AO8" i="34"/>
  <c r="K200" i="34" s="1"/>
  <c r="AN8" i="34"/>
  <c r="J200" i="34" s="1"/>
  <c r="AM8" i="34"/>
  <c r="I200" i="34" s="1"/>
  <c r="AL8" i="34"/>
  <c r="H200" i="34" s="1"/>
  <c r="AS7" i="34"/>
  <c r="O199" i="34" s="1"/>
  <c r="AR7" i="34"/>
  <c r="N199" i="34" s="1"/>
  <c r="AQ7" i="34"/>
  <c r="M199" i="34" s="1"/>
  <c r="AP7" i="34"/>
  <c r="L199" i="34" s="1"/>
  <c r="AO7" i="34"/>
  <c r="K199" i="34" s="1"/>
  <c r="AN7" i="34"/>
  <c r="J199" i="34" s="1"/>
  <c r="AM7" i="34"/>
  <c r="I199" i="34" s="1"/>
  <c r="AL7" i="34"/>
  <c r="H199" i="34" s="1"/>
  <c r="AC6" i="17"/>
  <c r="AC7" i="17"/>
  <c r="AC8" i="17"/>
  <c r="AC9" i="17"/>
  <c r="AC10" i="17"/>
  <c r="AC11" i="17"/>
  <c r="AC12" i="17"/>
  <c r="AC13" i="17"/>
  <c r="AC14" i="17"/>
  <c r="AC15" i="17"/>
  <c r="AC16" i="17"/>
  <c r="AC17" i="17"/>
  <c r="AC18" i="17"/>
  <c r="AC19" i="17"/>
  <c r="AC20" i="17"/>
  <c r="AC21" i="17"/>
  <c r="AC22" i="17"/>
  <c r="AC23" i="17"/>
  <c r="AC24" i="17"/>
  <c r="AC25" i="17"/>
  <c r="AC26" i="17"/>
  <c r="AC27" i="17"/>
  <c r="AC28" i="17"/>
  <c r="AC29" i="17"/>
  <c r="AC30" i="17"/>
  <c r="AC31" i="17"/>
  <c r="AC32" i="17"/>
  <c r="AC33" i="17"/>
  <c r="AC34" i="17"/>
  <c r="AC35" i="17"/>
  <c r="AC36" i="17"/>
  <c r="AC37" i="17"/>
  <c r="AC38" i="17"/>
  <c r="AC39" i="17"/>
  <c r="AC40" i="17"/>
  <c r="AC41" i="17"/>
  <c r="AC42" i="17"/>
  <c r="AC43" i="17"/>
  <c r="AC44" i="17"/>
  <c r="AC45" i="17"/>
  <c r="AC46" i="17"/>
  <c r="AC47" i="17"/>
  <c r="AC48" i="17"/>
  <c r="AC49" i="17"/>
  <c r="AC50" i="17"/>
  <c r="AC51" i="17"/>
  <c r="AC52" i="17"/>
  <c r="AC53" i="17"/>
  <c r="AC54" i="17"/>
  <c r="AC55" i="17"/>
  <c r="AC56" i="17"/>
  <c r="AC57" i="17"/>
  <c r="AC58" i="17"/>
  <c r="AC59" i="17"/>
  <c r="AC5" i="17"/>
  <c r="AA6" i="17"/>
  <c r="AA7" i="17"/>
  <c r="AA8" i="17"/>
  <c r="AA9" i="17"/>
  <c r="AA10" i="17"/>
  <c r="AA11" i="17"/>
  <c r="AA12" i="17"/>
  <c r="AA13" i="17"/>
  <c r="AA14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AA38" i="17"/>
  <c r="AA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A55" i="17"/>
  <c r="AA56" i="17"/>
  <c r="AA57" i="17"/>
  <c r="AA58" i="17"/>
  <c r="AA59" i="17"/>
  <c r="AA5" i="17"/>
  <c r="Y6" i="17"/>
  <c r="Y7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Y51" i="17"/>
  <c r="Y52" i="17"/>
  <c r="Y53" i="17"/>
  <c r="Y54" i="17"/>
  <c r="Y55" i="17"/>
  <c r="Y56" i="17"/>
  <c r="Y57" i="17"/>
  <c r="Y58" i="17"/>
  <c r="Y59" i="17"/>
  <c r="Y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5" i="17"/>
  <c r="U6" i="17"/>
  <c r="U7" i="17"/>
  <c r="U8" i="17"/>
  <c r="U9" i="17"/>
  <c r="U10" i="17"/>
  <c r="U11" i="17"/>
  <c r="U12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28" i="17"/>
  <c r="S29" i="17"/>
  <c r="S30" i="17"/>
  <c r="S31" i="17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53" i="17"/>
  <c r="S54" i="17"/>
  <c r="S55" i="17"/>
  <c r="S56" i="17"/>
  <c r="S57" i="17"/>
  <c r="S58" i="17"/>
  <c r="S59" i="17"/>
  <c r="S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50" i="17"/>
  <c r="L51" i="17"/>
  <c r="L52" i="17"/>
  <c r="L53" i="17"/>
  <c r="L54" i="17"/>
  <c r="L55" i="17"/>
  <c r="I58" i="17"/>
  <c r="I59" i="17"/>
  <c r="G58" i="17"/>
  <c r="G59" i="17"/>
  <c r="G56" i="17"/>
  <c r="G57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50" i="17"/>
  <c r="H51" i="17"/>
  <c r="H52" i="17"/>
  <c r="H53" i="17"/>
  <c r="H54" i="17"/>
  <c r="H55" i="17"/>
  <c r="H6" i="17"/>
  <c r="F6" i="17"/>
  <c r="F7" i="17"/>
  <c r="F8" i="17"/>
  <c r="F9" i="17"/>
  <c r="F10" i="17"/>
  <c r="F11" i="17"/>
  <c r="F12" i="17"/>
  <c r="F13" i="17"/>
  <c r="F14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" i="17"/>
  <c r="AK55" i="17"/>
  <c r="AJ55" i="17"/>
  <c r="AI55" i="17"/>
  <c r="AH55" i="17"/>
  <c r="AG55" i="17"/>
  <c r="AF55" i="17"/>
  <c r="AD55" i="17"/>
  <c r="AB55" i="17"/>
  <c r="Z55" i="17"/>
  <c r="X55" i="17"/>
  <c r="V55" i="17"/>
  <c r="T55" i="17"/>
  <c r="R55" i="17"/>
  <c r="P55" i="17"/>
  <c r="N55" i="17"/>
  <c r="J55" i="17"/>
  <c r="AK54" i="17"/>
  <c r="AJ54" i="17"/>
  <c r="AI54" i="17"/>
  <c r="AH54" i="17"/>
  <c r="AG54" i="17"/>
  <c r="AF54" i="17"/>
  <c r="AD54" i="17"/>
  <c r="AB54" i="17"/>
  <c r="Z54" i="17"/>
  <c r="X54" i="17"/>
  <c r="V54" i="17"/>
  <c r="T54" i="17"/>
  <c r="R54" i="17"/>
  <c r="P54" i="17"/>
  <c r="N54" i="17"/>
  <c r="J54" i="17"/>
  <c r="AK53" i="17"/>
  <c r="AJ53" i="17"/>
  <c r="AI53" i="17"/>
  <c r="AH53" i="17"/>
  <c r="AG53" i="17"/>
  <c r="AF53" i="17"/>
  <c r="AD53" i="17"/>
  <c r="AB53" i="17"/>
  <c r="Z53" i="17"/>
  <c r="X53" i="17"/>
  <c r="V53" i="17"/>
  <c r="T53" i="17"/>
  <c r="R53" i="17"/>
  <c r="P53" i="17"/>
  <c r="N53" i="17"/>
  <c r="J53" i="17"/>
  <c r="AK52" i="17"/>
  <c r="AJ52" i="17"/>
  <c r="AI52" i="17"/>
  <c r="AH52" i="17"/>
  <c r="AG52" i="17"/>
  <c r="AF52" i="17"/>
  <c r="AD52" i="17"/>
  <c r="AB52" i="17"/>
  <c r="Z52" i="17"/>
  <c r="X52" i="17"/>
  <c r="V52" i="17"/>
  <c r="T52" i="17"/>
  <c r="R52" i="17"/>
  <c r="P52" i="17"/>
  <c r="N52" i="17"/>
  <c r="J52" i="17"/>
  <c r="AK51" i="17"/>
  <c r="AJ51" i="17"/>
  <c r="AI51" i="17"/>
  <c r="AH51" i="17"/>
  <c r="AG51" i="17"/>
  <c r="AF51" i="17"/>
  <c r="AD51" i="17"/>
  <c r="AB51" i="17"/>
  <c r="Z51" i="17"/>
  <c r="X51" i="17"/>
  <c r="V51" i="17"/>
  <c r="T51" i="17"/>
  <c r="R51" i="17"/>
  <c r="P51" i="17"/>
  <c r="N51" i="17"/>
  <c r="J51" i="17"/>
  <c r="AK50" i="17"/>
  <c r="AJ50" i="17"/>
  <c r="AI50" i="17"/>
  <c r="AH50" i="17"/>
  <c r="AG50" i="17"/>
  <c r="AF50" i="17"/>
  <c r="AD50" i="17"/>
  <c r="AB50" i="17"/>
  <c r="Z50" i="17"/>
  <c r="X50" i="17"/>
  <c r="V50" i="17"/>
  <c r="T50" i="17"/>
  <c r="R50" i="17"/>
  <c r="P50" i="17"/>
  <c r="N50" i="17"/>
  <c r="J50" i="17"/>
  <c r="AK49" i="17"/>
  <c r="AJ49" i="17"/>
  <c r="AI49" i="17"/>
  <c r="AH49" i="17"/>
  <c r="AG49" i="17"/>
  <c r="AF49" i="17"/>
  <c r="AD49" i="17"/>
  <c r="AB49" i="17"/>
  <c r="Z49" i="17"/>
  <c r="AK48" i="17"/>
  <c r="AJ48" i="17"/>
  <c r="AI48" i="17"/>
  <c r="AH48" i="17"/>
  <c r="AG48" i="17"/>
  <c r="AF48" i="17"/>
  <c r="AD48" i="17"/>
  <c r="AB48" i="17"/>
  <c r="Z48" i="17"/>
  <c r="X48" i="17"/>
  <c r="V48" i="17"/>
  <c r="T48" i="17"/>
  <c r="R48" i="17"/>
  <c r="P48" i="17"/>
  <c r="N48" i="17"/>
  <c r="J48" i="17"/>
  <c r="AK47" i="17"/>
  <c r="AJ47" i="17"/>
  <c r="AI47" i="17"/>
  <c r="AH47" i="17"/>
  <c r="AG47" i="17"/>
  <c r="AF47" i="17"/>
  <c r="AD47" i="17"/>
  <c r="AB47" i="17"/>
  <c r="Z47" i="17"/>
  <c r="X47" i="17"/>
  <c r="V47" i="17"/>
  <c r="T47" i="17"/>
  <c r="R47" i="17"/>
  <c r="P47" i="17"/>
  <c r="N47" i="17"/>
  <c r="J47" i="17"/>
  <c r="AK46" i="17"/>
  <c r="AJ46" i="17"/>
  <c r="AI46" i="17"/>
  <c r="AH46" i="17"/>
  <c r="AG46" i="17"/>
  <c r="AF46" i="17"/>
  <c r="AD46" i="17"/>
  <c r="AB46" i="17"/>
  <c r="Z46" i="17"/>
  <c r="X46" i="17"/>
  <c r="V46" i="17"/>
  <c r="T46" i="17"/>
  <c r="R46" i="17"/>
  <c r="P46" i="17"/>
  <c r="N46" i="17"/>
  <c r="J46" i="17"/>
  <c r="AK45" i="17"/>
  <c r="AJ45" i="17"/>
  <c r="AI45" i="17"/>
  <c r="AH45" i="17"/>
  <c r="AG45" i="17"/>
  <c r="AF45" i="17"/>
  <c r="AD45" i="17"/>
  <c r="AB45" i="17"/>
  <c r="Z45" i="17"/>
  <c r="X45" i="17"/>
  <c r="V45" i="17"/>
  <c r="T45" i="17"/>
  <c r="R45" i="17"/>
  <c r="P45" i="17"/>
  <c r="N45" i="17"/>
  <c r="J45" i="17"/>
  <c r="AK44" i="17"/>
  <c r="AJ44" i="17"/>
  <c r="AI44" i="17"/>
  <c r="AH44" i="17"/>
  <c r="AG44" i="17"/>
  <c r="AF44" i="17"/>
  <c r="AD44" i="17"/>
  <c r="AB44" i="17"/>
  <c r="Z44" i="17"/>
  <c r="X44" i="17"/>
  <c r="V44" i="17"/>
  <c r="T44" i="17"/>
  <c r="R44" i="17"/>
  <c r="P44" i="17"/>
  <c r="N44" i="17"/>
  <c r="J44" i="17"/>
  <c r="AK43" i="17"/>
  <c r="AJ43" i="17"/>
  <c r="AI43" i="17"/>
  <c r="AH43" i="17"/>
  <c r="AG43" i="17"/>
  <c r="AF43" i="17"/>
  <c r="AD43" i="17"/>
  <c r="AB43" i="17"/>
  <c r="Z43" i="17"/>
  <c r="X43" i="17"/>
  <c r="V43" i="17"/>
  <c r="T43" i="17"/>
  <c r="R43" i="17"/>
  <c r="P43" i="17"/>
  <c r="N43" i="17"/>
  <c r="J43" i="17"/>
  <c r="AK42" i="17"/>
  <c r="AJ42" i="17"/>
  <c r="AI42" i="17"/>
  <c r="AH42" i="17"/>
  <c r="AG42" i="17"/>
  <c r="AF42" i="17"/>
  <c r="AD42" i="17"/>
  <c r="AB42" i="17"/>
  <c r="Z42" i="17"/>
  <c r="X42" i="17"/>
  <c r="V42" i="17"/>
  <c r="T42" i="17"/>
  <c r="R42" i="17"/>
  <c r="P42" i="17"/>
  <c r="N42" i="17"/>
  <c r="J42" i="17"/>
  <c r="AK41" i="17"/>
  <c r="AJ41" i="17"/>
  <c r="AI41" i="17"/>
  <c r="AH41" i="17"/>
  <c r="AG41" i="17"/>
  <c r="AF41" i="17"/>
  <c r="AD41" i="17"/>
  <c r="AB41" i="17"/>
  <c r="Z41" i="17"/>
  <c r="X41" i="17"/>
  <c r="V41" i="17"/>
  <c r="T41" i="17"/>
  <c r="R41" i="17"/>
  <c r="P41" i="17"/>
  <c r="N41" i="17"/>
  <c r="J41" i="17"/>
  <c r="AK40" i="17"/>
  <c r="AJ40" i="17"/>
  <c r="AI40" i="17"/>
  <c r="AH40" i="17"/>
  <c r="AG40" i="17"/>
  <c r="AF40" i="17"/>
  <c r="AD40" i="17"/>
  <c r="AB40" i="17"/>
  <c r="Z40" i="17"/>
  <c r="X40" i="17"/>
  <c r="V40" i="17"/>
  <c r="T40" i="17"/>
  <c r="R40" i="17"/>
  <c r="P40" i="17"/>
  <c r="N40" i="17"/>
  <c r="J40" i="17"/>
  <c r="AK39" i="17"/>
  <c r="AJ39" i="17"/>
  <c r="AI39" i="17"/>
  <c r="AH39" i="17"/>
  <c r="AG39" i="17"/>
  <c r="AF39" i="17"/>
  <c r="AD39" i="17"/>
  <c r="AB39" i="17"/>
  <c r="Z39" i="17"/>
  <c r="X39" i="17"/>
  <c r="V39" i="17"/>
  <c r="T39" i="17"/>
  <c r="R39" i="17"/>
  <c r="P39" i="17"/>
  <c r="N39" i="17"/>
  <c r="J39" i="17"/>
  <c r="AK38" i="17"/>
  <c r="AJ38" i="17"/>
  <c r="AI38" i="17"/>
  <c r="AH38" i="17"/>
  <c r="AG38" i="17"/>
  <c r="AF38" i="17"/>
  <c r="AD38" i="17"/>
  <c r="AB38" i="17"/>
  <c r="Z38" i="17"/>
  <c r="X38" i="17"/>
  <c r="V38" i="17"/>
  <c r="T38" i="17"/>
  <c r="R38" i="17"/>
  <c r="P38" i="17"/>
  <c r="N38" i="17"/>
  <c r="J38" i="17"/>
  <c r="AK37" i="17"/>
  <c r="AJ37" i="17"/>
  <c r="AI37" i="17"/>
  <c r="AH37" i="17"/>
  <c r="AG37" i="17"/>
  <c r="AF37" i="17"/>
  <c r="AD37" i="17"/>
  <c r="AB37" i="17"/>
  <c r="Z37" i="17"/>
  <c r="X37" i="17"/>
  <c r="V37" i="17"/>
  <c r="T37" i="17"/>
  <c r="R37" i="17"/>
  <c r="P37" i="17"/>
  <c r="N37" i="17"/>
  <c r="J37" i="17"/>
  <c r="AK36" i="17"/>
  <c r="AJ36" i="17"/>
  <c r="AI36" i="17"/>
  <c r="AH36" i="17"/>
  <c r="AG36" i="17"/>
  <c r="AF36" i="17"/>
  <c r="AD36" i="17"/>
  <c r="AB36" i="17"/>
  <c r="Z36" i="17"/>
  <c r="X36" i="17"/>
  <c r="V36" i="17"/>
  <c r="T36" i="17"/>
  <c r="R36" i="17"/>
  <c r="P36" i="17"/>
  <c r="N36" i="17"/>
  <c r="J36" i="17"/>
  <c r="AK35" i="17"/>
  <c r="AJ35" i="17"/>
  <c r="AI35" i="17"/>
  <c r="AH35" i="17"/>
  <c r="AG35" i="17"/>
  <c r="AF35" i="17"/>
  <c r="AD35" i="17"/>
  <c r="AB35" i="17"/>
  <c r="Z35" i="17"/>
  <c r="X35" i="17"/>
  <c r="V35" i="17"/>
  <c r="T35" i="17"/>
  <c r="R35" i="17"/>
  <c r="P35" i="17"/>
  <c r="N35" i="17"/>
  <c r="J35" i="17"/>
  <c r="AK34" i="17"/>
  <c r="AJ34" i="17"/>
  <c r="AI34" i="17"/>
  <c r="AH34" i="17"/>
  <c r="AG34" i="17"/>
  <c r="AF34" i="17"/>
  <c r="AD34" i="17"/>
  <c r="AB34" i="17"/>
  <c r="Z34" i="17"/>
  <c r="X34" i="17"/>
  <c r="V34" i="17"/>
  <c r="T34" i="17"/>
  <c r="R34" i="17"/>
  <c r="P34" i="17"/>
  <c r="N34" i="17"/>
  <c r="J34" i="17"/>
  <c r="AK33" i="17"/>
  <c r="AJ33" i="17"/>
  <c r="AI33" i="17"/>
  <c r="AH33" i="17"/>
  <c r="AG33" i="17"/>
  <c r="AF33" i="17"/>
  <c r="AD33" i="17"/>
  <c r="AB33" i="17"/>
  <c r="Z33" i="17"/>
  <c r="X33" i="17"/>
  <c r="V33" i="17"/>
  <c r="T33" i="17"/>
  <c r="R33" i="17"/>
  <c r="P33" i="17"/>
  <c r="N33" i="17"/>
  <c r="J33" i="17"/>
  <c r="AK32" i="17"/>
  <c r="AJ32" i="17"/>
  <c r="AI32" i="17"/>
  <c r="AH32" i="17"/>
  <c r="AG32" i="17"/>
  <c r="AF32" i="17"/>
  <c r="AD32" i="17"/>
  <c r="AB32" i="17"/>
  <c r="Z32" i="17"/>
  <c r="X32" i="17"/>
  <c r="V32" i="17"/>
  <c r="T32" i="17"/>
  <c r="R32" i="17"/>
  <c r="P32" i="17"/>
  <c r="N32" i="17"/>
  <c r="J32" i="17"/>
  <c r="AK31" i="17"/>
  <c r="AJ31" i="17"/>
  <c r="AI31" i="17"/>
  <c r="AH31" i="17"/>
  <c r="AG31" i="17"/>
  <c r="AF31" i="17"/>
  <c r="AD31" i="17"/>
  <c r="AB31" i="17"/>
  <c r="Z31" i="17"/>
  <c r="X31" i="17"/>
  <c r="V31" i="17"/>
  <c r="T31" i="17"/>
  <c r="R31" i="17"/>
  <c r="P31" i="17"/>
  <c r="N31" i="17"/>
  <c r="J31" i="17"/>
  <c r="AK30" i="17"/>
  <c r="AJ30" i="17"/>
  <c r="AI30" i="17"/>
  <c r="AH30" i="17"/>
  <c r="AG30" i="17"/>
  <c r="AF30" i="17"/>
  <c r="AD30" i="17"/>
  <c r="AB30" i="17"/>
  <c r="Z30" i="17"/>
  <c r="X30" i="17"/>
  <c r="V30" i="17"/>
  <c r="T30" i="17"/>
  <c r="R30" i="17"/>
  <c r="P30" i="17"/>
  <c r="N30" i="17"/>
  <c r="J30" i="17"/>
  <c r="AK29" i="17"/>
  <c r="AJ29" i="17"/>
  <c r="AI29" i="17"/>
  <c r="AH29" i="17"/>
  <c r="AG29" i="17"/>
  <c r="AF29" i="17"/>
  <c r="AD29" i="17"/>
  <c r="AB29" i="17"/>
  <c r="Z29" i="17"/>
  <c r="X29" i="17"/>
  <c r="V29" i="17"/>
  <c r="T29" i="17"/>
  <c r="R29" i="17"/>
  <c r="P29" i="17"/>
  <c r="N29" i="17"/>
  <c r="J29" i="17"/>
  <c r="AK28" i="17"/>
  <c r="AJ28" i="17"/>
  <c r="AI28" i="17"/>
  <c r="AH28" i="17"/>
  <c r="AG28" i="17"/>
  <c r="AF28" i="17"/>
  <c r="AD28" i="17"/>
  <c r="AB28" i="17"/>
  <c r="Z28" i="17"/>
  <c r="X28" i="17"/>
  <c r="V28" i="17"/>
  <c r="T28" i="17"/>
  <c r="R28" i="17"/>
  <c r="P28" i="17"/>
  <c r="N28" i="17"/>
  <c r="J28" i="17"/>
  <c r="AK27" i="17"/>
  <c r="AJ27" i="17"/>
  <c r="AI27" i="17"/>
  <c r="AH27" i="17"/>
  <c r="AG27" i="17"/>
  <c r="AF27" i="17"/>
  <c r="AD27" i="17"/>
  <c r="AB27" i="17"/>
  <c r="Z27" i="17"/>
  <c r="X27" i="17"/>
  <c r="V27" i="17"/>
  <c r="T27" i="17"/>
  <c r="R27" i="17"/>
  <c r="P27" i="17"/>
  <c r="N27" i="17"/>
  <c r="J27" i="17"/>
  <c r="AK26" i="17"/>
  <c r="AJ26" i="17"/>
  <c r="AI26" i="17"/>
  <c r="AH26" i="17"/>
  <c r="AG26" i="17"/>
  <c r="AF26" i="17"/>
  <c r="AD26" i="17"/>
  <c r="AB26" i="17"/>
  <c r="Z26" i="17"/>
  <c r="X26" i="17"/>
  <c r="V26" i="17"/>
  <c r="T26" i="17"/>
  <c r="R26" i="17"/>
  <c r="P26" i="17"/>
  <c r="N26" i="17"/>
  <c r="J26" i="17"/>
  <c r="AK25" i="17"/>
  <c r="AJ25" i="17"/>
  <c r="AI25" i="17"/>
  <c r="AH25" i="17"/>
  <c r="AG25" i="17"/>
  <c r="AF25" i="17"/>
  <c r="AD25" i="17"/>
  <c r="AB25" i="17"/>
  <c r="Z25" i="17"/>
  <c r="X25" i="17"/>
  <c r="V25" i="17"/>
  <c r="T25" i="17"/>
  <c r="R25" i="17"/>
  <c r="P25" i="17"/>
  <c r="N25" i="17"/>
  <c r="J25" i="17"/>
  <c r="AK24" i="17"/>
  <c r="AJ24" i="17"/>
  <c r="AI24" i="17"/>
  <c r="AH24" i="17"/>
  <c r="AG24" i="17"/>
  <c r="AF24" i="17"/>
  <c r="AD24" i="17"/>
  <c r="AB24" i="17"/>
  <c r="Z24" i="17"/>
  <c r="X24" i="17"/>
  <c r="V24" i="17"/>
  <c r="T24" i="17"/>
  <c r="R24" i="17"/>
  <c r="P24" i="17"/>
  <c r="N24" i="17"/>
  <c r="J24" i="17"/>
  <c r="AK23" i="17"/>
  <c r="AJ23" i="17"/>
  <c r="AI23" i="17"/>
  <c r="AH23" i="17"/>
  <c r="AG23" i="17"/>
  <c r="AF23" i="17"/>
  <c r="AD23" i="17"/>
  <c r="AB23" i="17"/>
  <c r="Z23" i="17"/>
  <c r="X23" i="17"/>
  <c r="V23" i="17"/>
  <c r="T23" i="17"/>
  <c r="R23" i="17"/>
  <c r="P23" i="17"/>
  <c r="N23" i="17"/>
  <c r="J23" i="17"/>
  <c r="AK22" i="17"/>
  <c r="AJ22" i="17"/>
  <c r="AI22" i="17"/>
  <c r="AH22" i="17"/>
  <c r="AG22" i="17"/>
  <c r="AF22" i="17"/>
  <c r="AD22" i="17"/>
  <c r="AB22" i="17"/>
  <c r="Z22" i="17"/>
  <c r="X22" i="17"/>
  <c r="V22" i="17"/>
  <c r="T22" i="17"/>
  <c r="R22" i="17"/>
  <c r="P22" i="17"/>
  <c r="N22" i="17"/>
  <c r="J22" i="17"/>
  <c r="AK21" i="17"/>
  <c r="AJ21" i="17"/>
  <c r="AI21" i="17"/>
  <c r="AH21" i="17"/>
  <c r="AG21" i="17"/>
  <c r="AF21" i="17"/>
  <c r="AD21" i="17"/>
  <c r="AB21" i="17"/>
  <c r="Z21" i="17"/>
  <c r="X21" i="17"/>
  <c r="V21" i="17"/>
  <c r="T21" i="17"/>
  <c r="R21" i="17"/>
  <c r="P21" i="17"/>
  <c r="N21" i="17"/>
  <c r="J21" i="17"/>
  <c r="AK20" i="17"/>
  <c r="AJ20" i="17"/>
  <c r="AI20" i="17"/>
  <c r="AH20" i="17"/>
  <c r="AG20" i="17"/>
  <c r="AF20" i="17"/>
  <c r="AD20" i="17"/>
  <c r="AB20" i="17"/>
  <c r="Z20" i="17"/>
  <c r="X20" i="17"/>
  <c r="V20" i="17"/>
  <c r="T20" i="17"/>
  <c r="R20" i="17"/>
  <c r="P20" i="17"/>
  <c r="N20" i="17"/>
  <c r="J20" i="17"/>
  <c r="AK19" i="17"/>
  <c r="AJ19" i="17"/>
  <c r="AI19" i="17"/>
  <c r="AH19" i="17"/>
  <c r="AG19" i="17"/>
  <c r="AF19" i="17"/>
  <c r="AD19" i="17"/>
  <c r="AB19" i="17"/>
  <c r="Z19" i="17"/>
  <c r="X19" i="17"/>
  <c r="V19" i="17"/>
  <c r="T19" i="17"/>
  <c r="R19" i="17"/>
  <c r="P19" i="17"/>
  <c r="N19" i="17"/>
  <c r="J19" i="17"/>
  <c r="AK18" i="17"/>
  <c r="AJ18" i="17"/>
  <c r="AI18" i="17"/>
  <c r="AH18" i="17"/>
  <c r="AG18" i="17"/>
  <c r="AF18" i="17"/>
  <c r="AD18" i="17"/>
  <c r="AB18" i="17"/>
  <c r="Z18" i="17"/>
  <c r="X18" i="17"/>
  <c r="V18" i="17"/>
  <c r="T18" i="17"/>
  <c r="R18" i="17"/>
  <c r="P18" i="17"/>
  <c r="N18" i="17"/>
  <c r="J18" i="17"/>
  <c r="AK17" i="17"/>
  <c r="AJ17" i="17"/>
  <c r="AI17" i="17"/>
  <c r="AH17" i="17"/>
  <c r="AG17" i="17"/>
  <c r="AF17" i="17"/>
  <c r="AD17" i="17"/>
  <c r="AB17" i="17"/>
  <c r="Z17" i="17"/>
  <c r="X17" i="17"/>
  <c r="V17" i="17"/>
  <c r="T17" i="17"/>
  <c r="R17" i="17"/>
  <c r="P17" i="17"/>
  <c r="N17" i="17"/>
  <c r="J17" i="17"/>
  <c r="AK16" i="17"/>
  <c r="AJ16" i="17"/>
  <c r="AI16" i="17"/>
  <c r="AH16" i="17"/>
  <c r="AG16" i="17"/>
  <c r="AF16" i="17"/>
  <c r="AD16" i="17"/>
  <c r="AB16" i="17"/>
  <c r="Z16" i="17"/>
  <c r="X16" i="17"/>
  <c r="V16" i="17"/>
  <c r="T16" i="17"/>
  <c r="R16" i="17"/>
  <c r="P16" i="17"/>
  <c r="N16" i="17"/>
  <c r="J16" i="17"/>
  <c r="AK15" i="17"/>
  <c r="AJ15" i="17"/>
  <c r="AI15" i="17"/>
  <c r="AH15" i="17"/>
  <c r="AG15" i="17"/>
  <c r="AF15" i="17"/>
  <c r="AD15" i="17"/>
  <c r="AB15" i="17"/>
  <c r="Z15" i="17"/>
  <c r="X15" i="17"/>
  <c r="V15" i="17"/>
  <c r="T15" i="17"/>
  <c r="R15" i="17"/>
  <c r="P15" i="17"/>
  <c r="N15" i="17"/>
  <c r="J15" i="17"/>
  <c r="AK14" i="17"/>
  <c r="AJ14" i="17"/>
  <c r="AI14" i="17"/>
  <c r="AH14" i="17"/>
  <c r="AG14" i="17"/>
  <c r="AF14" i="17"/>
  <c r="AD14" i="17"/>
  <c r="AB14" i="17"/>
  <c r="Z14" i="17"/>
  <c r="X14" i="17"/>
  <c r="V14" i="17"/>
  <c r="T14" i="17"/>
  <c r="R14" i="17"/>
  <c r="P14" i="17"/>
  <c r="N14" i="17"/>
  <c r="J14" i="17"/>
  <c r="AK13" i="17"/>
  <c r="AJ13" i="17"/>
  <c r="AI13" i="17"/>
  <c r="AH13" i="17"/>
  <c r="AG13" i="17"/>
  <c r="AF13" i="17"/>
  <c r="AD13" i="17"/>
  <c r="AB13" i="17"/>
  <c r="Z13" i="17"/>
  <c r="X13" i="17"/>
  <c r="V13" i="17"/>
  <c r="T13" i="17"/>
  <c r="R13" i="17"/>
  <c r="P13" i="17"/>
  <c r="N13" i="17"/>
  <c r="J13" i="17"/>
  <c r="AK12" i="17"/>
  <c r="AJ12" i="17"/>
  <c r="AI12" i="17"/>
  <c r="AH12" i="17"/>
  <c r="AG12" i="17"/>
  <c r="AF12" i="17"/>
  <c r="AD12" i="17"/>
  <c r="AB12" i="17"/>
  <c r="Z12" i="17"/>
  <c r="X12" i="17"/>
  <c r="V12" i="17"/>
  <c r="T12" i="17"/>
  <c r="R12" i="17"/>
  <c r="P12" i="17"/>
  <c r="N12" i="17"/>
  <c r="J12" i="17"/>
  <c r="AK11" i="17"/>
  <c r="AJ11" i="17"/>
  <c r="AI11" i="17"/>
  <c r="AH11" i="17"/>
  <c r="AG11" i="17"/>
  <c r="AF11" i="17"/>
  <c r="AD11" i="17"/>
  <c r="AB11" i="17"/>
  <c r="Z11" i="17"/>
  <c r="X11" i="17"/>
  <c r="V11" i="17"/>
  <c r="T11" i="17"/>
  <c r="R11" i="17"/>
  <c r="P11" i="17"/>
  <c r="N11" i="17"/>
  <c r="J11" i="17"/>
  <c r="AK10" i="17"/>
  <c r="AJ10" i="17"/>
  <c r="AI10" i="17"/>
  <c r="AH10" i="17"/>
  <c r="AG10" i="17"/>
  <c r="AF10" i="17"/>
  <c r="AD10" i="17"/>
  <c r="AB10" i="17"/>
  <c r="Z10" i="17"/>
  <c r="X10" i="17"/>
  <c r="V10" i="17"/>
  <c r="T10" i="17"/>
  <c r="R10" i="17"/>
  <c r="P10" i="17"/>
  <c r="N10" i="17"/>
  <c r="J10" i="17"/>
  <c r="AK9" i="17"/>
  <c r="AJ9" i="17"/>
  <c r="AI9" i="17"/>
  <c r="AH9" i="17"/>
  <c r="AG9" i="17"/>
  <c r="AF9" i="17"/>
  <c r="AD9" i="17"/>
  <c r="AB9" i="17"/>
  <c r="Z9" i="17"/>
  <c r="X9" i="17"/>
  <c r="V9" i="17"/>
  <c r="T9" i="17"/>
  <c r="R9" i="17"/>
  <c r="P9" i="17"/>
  <c r="N9" i="17"/>
  <c r="J9" i="17"/>
  <c r="AK8" i="17"/>
  <c r="AJ8" i="17"/>
  <c r="AI8" i="17"/>
  <c r="AH8" i="17"/>
  <c r="AG8" i="17"/>
  <c r="AF8" i="17"/>
  <c r="AD8" i="17"/>
  <c r="AB8" i="17"/>
  <c r="Z8" i="17"/>
  <c r="X8" i="17"/>
  <c r="V8" i="17"/>
  <c r="T8" i="17"/>
  <c r="R8" i="17"/>
  <c r="P8" i="17"/>
  <c r="N8" i="17"/>
  <c r="J8" i="17"/>
  <c r="AK7" i="17"/>
  <c r="AJ7" i="17"/>
  <c r="AI7" i="17"/>
  <c r="AH7" i="17"/>
  <c r="AG7" i="17"/>
  <c r="AF7" i="17"/>
  <c r="AD7" i="17"/>
  <c r="AB7" i="17"/>
  <c r="Z7" i="17"/>
  <c r="X7" i="17"/>
  <c r="V7" i="17"/>
  <c r="T7" i="17"/>
  <c r="R7" i="17"/>
  <c r="P7" i="17"/>
  <c r="N7" i="17"/>
  <c r="J7" i="17"/>
  <c r="AK6" i="17"/>
  <c r="AJ6" i="17"/>
  <c r="AI6" i="17"/>
  <c r="AH6" i="17"/>
  <c r="AG6" i="17"/>
  <c r="AF6" i="17"/>
  <c r="AD6" i="17"/>
  <c r="AB6" i="17"/>
  <c r="Z6" i="17"/>
  <c r="X6" i="17"/>
  <c r="V6" i="17"/>
  <c r="T6" i="17"/>
  <c r="R6" i="17"/>
  <c r="P6" i="17"/>
  <c r="N6" i="17"/>
  <c r="J6" i="17"/>
  <c r="AK5" i="17"/>
  <c r="AJ5" i="17"/>
  <c r="AI5" i="17"/>
  <c r="AH5" i="17"/>
  <c r="AG5" i="17"/>
  <c r="AF5" i="17"/>
  <c r="AD5" i="17"/>
  <c r="AB5" i="17"/>
  <c r="Z5" i="17"/>
  <c r="F15" i="17"/>
  <c r="D5" i="17"/>
  <c r="AH245" i="34" l="1"/>
</calcChain>
</file>

<file path=xl/sharedStrings.xml><?xml version="1.0" encoding="utf-8"?>
<sst xmlns="http://schemas.openxmlformats.org/spreadsheetml/2006/main" count="4753" uniqueCount="206">
  <si>
    <t>DINAS / BADAN / KANTOR PUSKESMAS ANGSAU</t>
  </si>
  <si>
    <t>NO</t>
  </si>
  <si>
    <t>NAMA</t>
  </si>
  <si>
    <t>PANGKAT /</t>
  </si>
  <si>
    <t>ST / S / F</t>
  </si>
  <si>
    <t>JABATAN</t>
  </si>
  <si>
    <t>REKAP KEHADIRAN</t>
  </si>
  <si>
    <t>KETERANGAN</t>
  </si>
  <si>
    <t>GOLONGAN</t>
  </si>
  <si>
    <t>H</t>
  </si>
  <si>
    <t>S</t>
  </si>
  <si>
    <t>I</t>
  </si>
  <si>
    <t>C</t>
  </si>
  <si>
    <t>DL</t>
  </si>
  <si>
    <t>CB</t>
  </si>
  <si>
    <t>IB</t>
  </si>
  <si>
    <t>TK</t>
  </si>
  <si>
    <t>KEHADIRAN</t>
  </si>
  <si>
    <t>Penata Tk.I / III.d</t>
  </si>
  <si>
    <t>ST</t>
  </si>
  <si>
    <t>19820619 200604 1 008</t>
  </si>
  <si>
    <t>Kasubbag TU</t>
  </si>
  <si>
    <t>drg. Diana Susanti</t>
  </si>
  <si>
    <t>19780910 200604 2 026</t>
  </si>
  <si>
    <t>F</t>
  </si>
  <si>
    <t>Dokter Gigi Madya</t>
  </si>
  <si>
    <t>drg. Item Gandhi Wati</t>
  </si>
  <si>
    <t>19801222 200903 2 007</t>
  </si>
  <si>
    <t>dr. Mariatul Kiptiah</t>
  </si>
  <si>
    <t>19800630 200903 2 009</t>
  </si>
  <si>
    <t>dr. Yantari Tiyora</t>
  </si>
  <si>
    <t>19920608 201903 2 011</t>
  </si>
  <si>
    <t>Rahmiwati, A.Md.Kes,SKM</t>
  </si>
  <si>
    <t>19710201 199402 0 003</t>
  </si>
  <si>
    <t xml:space="preserve">Rabiatul Adawiyah, AMd. Keb </t>
  </si>
  <si>
    <t>19740626 199301 2 001</t>
  </si>
  <si>
    <t>Penata / III.c</t>
  </si>
  <si>
    <t>19811026 200604 2 012</t>
  </si>
  <si>
    <t>Perawat Penyelia</t>
  </si>
  <si>
    <t>Herlina Abdi,AMK</t>
  </si>
  <si>
    <t>19781129 200604 2 012</t>
  </si>
  <si>
    <t>Fitriyani.AMK</t>
  </si>
  <si>
    <t>19790815 200501 2 013</t>
  </si>
  <si>
    <t>Syarifah Yartinah Alkaf,AMK</t>
  </si>
  <si>
    <t>19840102 200903 2 010</t>
  </si>
  <si>
    <t>Eva Rukmana, AMK</t>
  </si>
  <si>
    <t>19880529 201001 2 006</t>
  </si>
  <si>
    <t>Yuliani, AM.KG</t>
  </si>
  <si>
    <t>19880713 201001 2 004</t>
  </si>
  <si>
    <t>Erni Sasmita, AMd.Keb</t>
  </si>
  <si>
    <t>Bidan Penyelia</t>
  </si>
  <si>
    <t>19780831 200501 2 006</t>
  </si>
  <si>
    <t>Henny Rahimah,AMK</t>
  </si>
  <si>
    <t>19881006 201101 2 005</t>
  </si>
  <si>
    <t>Penata Muda Tk.I/ III.b</t>
  </si>
  <si>
    <t>Trisna Anggriyani, A.Md. Keb.</t>
  </si>
  <si>
    <t>19860101 201001 2 028</t>
  </si>
  <si>
    <t>Bidan Mahir</t>
  </si>
  <si>
    <t>19850118 200604 2 004</t>
  </si>
  <si>
    <t>19870326 201903 2 008</t>
  </si>
  <si>
    <t>19860225 200903 2 011</t>
  </si>
  <si>
    <t>Bidan Pertama</t>
  </si>
  <si>
    <t>19870309 200903 2 006</t>
  </si>
  <si>
    <t>19770605 200701 2 023</t>
  </si>
  <si>
    <t>19750624 200604 2 021</t>
  </si>
  <si>
    <t>19841008 200903 2 011</t>
  </si>
  <si>
    <t>19940420 201903 2 013</t>
  </si>
  <si>
    <t>Yulia Nasari, AM. Keb</t>
  </si>
  <si>
    <t>19890310 201704 2 002</t>
  </si>
  <si>
    <t>Faridhatul Maulia, A.Md.Kep</t>
  </si>
  <si>
    <t>19970724 202012 2 025</t>
  </si>
  <si>
    <t>Perawat Terampil</t>
  </si>
  <si>
    <t>19880320 201704 2 004</t>
  </si>
  <si>
    <t xml:space="preserve">   F    </t>
  </si>
  <si>
    <t>19900515 201903 2 011</t>
  </si>
  <si>
    <t>Devi Fitri Patimah, A.Md.RMIK</t>
  </si>
  <si>
    <t>19931218 202203 2 004</t>
  </si>
  <si>
    <t>G</t>
  </si>
  <si>
    <t>Sheny Budiarti, S.Si.T</t>
  </si>
  <si>
    <t>Setia Rahayu, A.Md. Keb</t>
  </si>
  <si>
    <t>Rico Andrianto Utama,AMK</t>
  </si>
  <si>
    <t>Rahmi Wulan Sari</t>
  </si>
  <si>
    <t>Yudi Rahman</t>
  </si>
  <si>
    <t>Yasirwan</t>
  </si>
  <si>
    <t>Kepala Puskesmas Angsau</t>
  </si>
  <si>
    <t>REKAP APEL PAGI</t>
  </si>
  <si>
    <t>APEL PAGI</t>
  </si>
  <si>
    <t>REKAP APEL SIANG</t>
  </si>
  <si>
    <t>APEL SIANG</t>
  </si>
  <si>
    <t>Pahliana Mulida, A.Md. Farm</t>
  </si>
  <si>
    <t>Pembina Tk.I/ IV. b</t>
  </si>
  <si>
    <t xml:space="preserve">Dokter Muda </t>
  </si>
  <si>
    <t>Apt. Lili Shafwatunnida, S. Farm</t>
  </si>
  <si>
    <t>Penata Muda/ III.a</t>
  </si>
  <si>
    <t>Asisten Apoteker Mahir</t>
  </si>
  <si>
    <t xml:space="preserve">Bidan Penyelia </t>
  </si>
  <si>
    <t>Anwar, S.Tr.Kes</t>
  </si>
  <si>
    <t>Erna Ningsih, S.Kep.,Ners</t>
  </si>
  <si>
    <t>Ni Luh Eka Karyani, S.Kep.,Ners</t>
  </si>
  <si>
    <t>Pranata Labkes Penyelia</t>
  </si>
  <si>
    <t>PTT BLUD</t>
  </si>
  <si>
    <t>REKAP APEL PAGI + SIANG</t>
  </si>
  <si>
    <t>Tenaga Teknologi Informasi</t>
  </si>
  <si>
    <t xml:space="preserve">Tenaga Keuangan </t>
  </si>
  <si>
    <t xml:space="preserve">Pembuat Daftar </t>
  </si>
  <si>
    <t>dr. Mochamad Faisal Bayu Pratomo</t>
  </si>
  <si>
    <t>VII</t>
  </si>
  <si>
    <t>Nutrisionis Trampil</t>
  </si>
  <si>
    <t>Husnul Khatimah, A.Md.Gz</t>
  </si>
  <si>
    <t xml:space="preserve">Agus Rahmat </t>
  </si>
  <si>
    <t>Fera Wati, A.Md</t>
  </si>
  <si>
    <t>Pengelola Layanan Operasional</t>
  </si>
  <si>
    <t>Deni Yuliandi, AM.KL</t>
  </si>
  <si>
    <t>Tenaga Sanitasi Lingkungan Terampil</t>
  </si>
  <si>
    <t>V</t>
  </si>
  <si>
    <t xml:space="preserve">Pengadministrasian Perkantoran </t>
  </si>
  <si>
    <t>19960912 202421 2 030</t>
  </si>
  <si>
    <t>19850907 202521 2 018</t>
  </si>
  <si>
    <t>19900730 202521 1 023</t>
  </si>
  <si>
    <t>19890809 202521 2 020</t>
  </si>
  <si>
    <t>Pengatur Tk. I / II.d</t>
  </si>
  <si>
    <t>Pembina / IV. a</t>
  </si>
  <si>
    <t>Iswati, S.ST</t>
  </si>
  <si>
    <t>19691009 199011 2 001</t>
  </si>
  <si>
    <t>Kepala UPTD Puskes Angsau</t>
  </si>
  <si>
    <t>Ida Nursanti, A.Mg</t>
  </si>
  <si>
    <t>19850814 202521 2 048</t>
  </si>
  <si>
    <t>19900523 202521 1 064</t>
  </si>
  <si>
    <t>Laily Nur, S. Keb., Bdn</t>
  </si>
  <si>
    <t>19890911 202521 2 055</t>
  </si>
  <si>
    <t>Siti Rahmawati, Am.Keb</t>
  </si>
  <si>
    <t>19870516 202521 2 060</t>
  </si>
  <si>
    <t>19930911 202521 2 075</t>
  </si>
  <si>
    <t>Eka Maulida Putri, A.Md.Keb</t>
  </si>
  <si>
    <t>19940905 202521 2 064</t>
  </si>
  <si>
    <t>Latipah</t>
  </si>
  <si>
    <t>19890310 202521 2 096</t>
  </si>
  <si>
    <t>19760804 202521 1 042</t>
  </si>
  <si>
    <t>19910928 202521 1 047</t>
  </si>
  <si>
    <t>19830322 202521 1 047</t>
  </si>
  <si>
    <t xml:space="preserve"> -</t>
  </si>
  <si>
    <t>Abdul Ghoni Zean, A.Md.Kom</t>
  </si>
  <si>
    <t>Nutrisionis Terampil</t>
  </si>
  <si>
    <t>Bidan Ahli Pertama</t>
  </si>
  <si>
    <t>Bidan Terampil</t>
  </si>
  <si>
    <t>Operator Layanan Operasional</t>
  </si>
  <si>
    <t>NIP.19691009 199011 2 001</t>
  </si>
  <si>
    <t>NIP. 19850907 2025212 018</t>
  </si>
  <si>
    <t>REKAP TIDAK APEL PAGI+ APEL SIANG</t>
  </si>
  <si>
    <t>Januari</t>
  </si>
  <si>
    <t>Maret</t>
  </si>
  <si>
    <t>Pebruari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</si>
  <si>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</si>
  <si>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</si>
  <si>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</si>
  <si>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</si>
  <si>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</si>
  <si>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</si>
  <si>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</si>
  <si>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</si>
  <si>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</si>
  <si>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Perawat Ahli Muda</t>
  </si>
  <si>
    <t>Pembina Tk.I / IV.b</t>
  </si>
  <si>
    <t>Penyuluh Kesmas Ahli Muda</t>
  </si>
  <si>
    <t>Syarifah Nurul Huda, S.K.M.,M.M</t>
  </si>
  <si>
    <t>Annisa Soraya, S.Tr.Keb</t>
  </si>
  <si>
    <t>Dewi Retno Astuty, SST, Bdn, MM</t>
  </si>
  <si>
    <t>19911011 202521 2 058</t>
  </si>
  <si>
    <t>Arbainah, S.Tr.Kes</t>
  </si>
  <si>
    <t>Tri Widi Astuti, A.Md.Keb</t>
  </si>
  <si>
    <t>Lia Puspa Sari, S.ST.,Bdn</t>
  </si>
  <si>
    <t>Yuni Kristiani, SH S.Tr.Keb., Bdn.MM</t>
  </si>
  <si>
    <t>Saptiningsih, S.Tr.Keb</t>
  </si>
  <si>
    <t>Dewi Harkit Pertiwi A.Md.AK</t>
  </si>
  <si>
    <t>Fera Wati, AMd</t>
  </si>
  <si>
    <t>Salmiyah, A.Md.Ak</t>
  </si>
  <si>
    <t>19840805 200903 2 009</t>
  </si>
  <si>
    <t>19871110 200903 2 006</t>
  </si>
  <si>
    <t>19910520202003 2 005</t>
  </si>
  <si>
    <t>REKAPITULASI ABSENSI KEHADIRAN, APEL PAGI DAN APEL SIANG STAF UPTD. PKM ANGSAU</t>
  </si>
  <si>
    <t>Pelaihari, 31 Maret 2026</t>
  </si>
  <si>
    <t>Dokter Madya</t>
  </si>
  <si>
    <t xml:space="preserve">Terapis Gigi dan Mulut Penyelia </t>
  </si>
  <si>
    <t>Apoteker Muda</t>
  </si>
  <si>
    <t>Pranata Laboratorium Pelaksana</t>
  </si>
  <si>
    <t>Pengatur / II.c</t>
  </si>
  <si>
    <t>Perekam Medis Terampil</t>
  </si>
  <si>
    <t>BULAN APRIL 2026</t>
  </si>
  <si>
    <t>Nikmatul Husna, S.Tr.Keb</t>
  </si>
  <si>
    <t>Bidan Ahli Muda</t>
  </si>
  <si>
    <t>Pelaihari, 30 April 2026</t>
  </si>
  <si>
    <t>4,6,8,9,10,11, 13,15,16,21,22,25,27</t>
  </si>
  <si>
    <t>1,2,2,4,6,7,8,9,11,13,14,16,18,20,21,22,23,25,27,28</t>
  </si>
  <si>
    <t>2, 4,15,23,</t>
  </si>
  <si>
    <t>7,18,</t>
  </si>
  <si>
    <t>4,7,15,16,17,20,</t>
  </si>
  <si>
    <t>1,2,4,6,7,8,17</t>
  </si>
  <si>
    <t>13,18,20,23,29</t>
  </si>
  <si>
    <t>9,17,</t>
  </si>
  <si>
    <t>4,24,30</t>
  </si>
  <si>
    <t>1,21,23,24,25,27,28,29</t>
  </si>
  <si>
    <t>1,2,4,13,18,21,25,29</t>
  </si>
  <si>
    <t>4,,14,18,</t>
  </si>
  <si>
    <t>7,8,13,28,29</t>
  </si>
  <si>
    <t>13,14,15,16,21,22,29,30</t>
  </si>
  <si>
    <t>22,28,30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</si>
</sst>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Calibri"/>
      <family val="2"/>
    </font>
    <font>
      <b/>
      <sz val="11"/>
      <name val="Calibri"/>
      <family val="2"/>
      <scheme val="minor"/>
    </font>
    <font>
      <b/>
      <sz val="11"/>
      <color rgb="FFFA7D00"/>
      <name val="Calibri"/>
      <family val="2"/>
      <charset val="1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2" borderId="33" applyNumberFormat="0" applyAlignment="0" applyProtection="0"/>
  </cellStyleXfs>
  <cellXfs count="298">
    <xf numFmtId="0" fontId="0" fillId="0" borderId="0" xfId="0"/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6" fillId="0" borderId="8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left" vertical="center"/>
    </xf>
    <xf numFmtId="0" fontId="7" fillId="0" borderId="41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20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 vertical="center"/>
    </xf>
    <xf numFmtId="0" fontId="6" fillId="5" borderId="42" xfId="0" applyFont="1" applyFill="1" applyBorder="1" applyAlignment="1">
      <alignment horizontal="center"/>
    </xf>
    <xf numFmtId="0" fontId="7" fillId="5" borderId="42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22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6" fillId="5" borderId="17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37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0" fontId="7" fillId="5" borderId="21" xfId="0" applyFont="1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3" borderId="40" xfId="0" applyFont="1" applyFill="1" applyBorder="1" applyAlignment="1">
      <alignment horizontal="center" vertical="center"/>
    </xf>
    <xf numFmtId="0" fontId="7" fillId="3" borderId="41" xfId="0" applyFont="1" applyFill="1" applyBorder="1" applyAlignment="1">
      <alignment horizontal="center" vertical="center"/>
    </xf>
    <xf numFmtId="0" fontId="7" fillId="5" borderId="41" xfId="0" applyFont="1" applyFill="1" applyBorder="1" applyAlignment="1">
      <alignment horizontal="center" vertical="center"/>
    </xf>
    <xf numFmtId="0" fontId="7" fillId="5" borderId="40" xfId="0" applyFont="1" applyFill="1" applyBorder="1" applyAlignment="1">
      <alignment horizontal="center" vertical="center"/>
    </xf>
    <xf numFmtId="0" fontId="7" fillId="5" borderId="53" xfId="0" applyFont="1" applyFill="1" applyBorder="1" applyAlignment="1">
      <alignment horizontal="center" vertical="center"/>
    </xf>
    <xf numFmtId="0" fontId="7" fillId="5" borderId="54" xfId="0" applyFont="1" applyFill="1" applyBorder="1" applyAlignment="1">
      <alignment horizontal="center" vertical="center"/>
    </xf>
    <xf numFmtId="0" fontId="7" fillId="5" borderId="5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6" fillId="0" borderId="50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0" xfId="0" applyFill="1"/>
    <xf numFmtId="0" fontId="7" fillId="0" borderId="0" xfId="0" applyFont="1" applyFill="1" applyAlignment="1">
      <alignment horizontal="left" vertical="center"/>
    </xf>
    <xf numFmtId="0" fontId="6" fillId="0" borderId="4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7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center"/>
    </xf>
    <xf numFmtId="0" fontId="7" fillId="0" borderId="14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left" vertical="center"/>
    </xf>
    <xf numFmtId="0" fontId="0" fillId="0" borderId="9" xfId="0" applyFill="1" applyBorder="1" applyAlignment="1">
      <alignment horizontal="center" vertical="center"/>
    </xf>
    <xf numFmtId="0" fontId="8" fillId="0" borderId="14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/>
    </xf>
    <xf numFmtId="0" fontId="7" fillId="0" borderId="14" xfId="0" quotePrefix="1" applyFont="1" applyFill="1" applyBorder="1" applyAlignment="1">
      <alignment horizontal="left" vertical="center"/>
    </xf>
    <xf numFmtId="0" fontId="7" fillId="0" borderId="14" xfId="0" applyFont="1" applyFill="1" applyBorder="1" applyAlignment="1">
      <alignment horizontal="left"/>
    </xf>
    <xf numFmtId="0" fontId="17" fillId="0" borderId="14" xfId="0" applyFont="1" applyFill="1" applyBorder="1" applyAlignment="1">
      <alignment horizontal="left" vertical="center"/>
    </xf>
    <xf numFmtId="0" fontId="17" fillId="0" borderId="14" xfId="0" applyFont="1" applyFill="1" applyBorder="1" applyAlignment="1">
      <alignment horizontal="left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left" vertical="center"/>
    </xf>
    <xf numFmtId="0" fontId="7" fillId="0" borderId="34" xfId="0" applyFont="1" applyFill="1" applyBorder="1" applyAlignment="1">
      <alignment horizontal="center"/>
    </xf>
    <xf numFmtId="0" fontId="7" fillId="0" borderId="49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4" fillId="0" borderId="0" xfId="0" applyFont="1" applyFill="1"/>
    <xf numFmtId="0" fontId="17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top"/>
    </xf>
    <xf numFmtId="0" fontId="7" fillId="0" borderId="0" xfId="0" applyFont="1" applyFill="1" applyAlignment="1">
      <alignment horizontal="left" vertical="top"/>
    </xf>
    <xf numFmtId="0" fontId="15" fillId="0" borderId="0" xfId="0" applyFont="1" applyFill="1" applyAlignment="1">
      <alignment horizontal="center"/>
    </xf>
    <xf numFmtId="0" fontId="6" fillId="0" borderId="22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/>
    <xf numFmtId="0" fontId="0" fillId="0" borderId="0" xfId="0" applyFill="1" applyAlignment="1">
      <alignment horizontal="center"/>
    </xf>
    <xf numFmtId="0" fontId="9" fillId="0" borderId="0" xfId="0" applyFont="1" applyFill="1"/>
    <xf numFmtId="0" fontId="9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0" fillId="0" borderId="0" xfId="0" applyFont="1" applyFill="1"/>
    <xf numFmtId="0" fontId="12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 vertical="top"/>
    </xf>
    <xf numFmtId="0" fontId="6" fillId="0" borderId="19" xfId="0" applyFont="1" applyFill="1" applyBorder="1" applyAlignment="1">
      <alignment horizontal="center" vertical="center"/>
    </xf>
    <xf numFmtId="0" fontId="6" fillId="0" borderId="42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/>
    </xf>
    <xf numFmtId="0" fontId="6" fillId="0" borderId="37" xfId="0" applyFont="1" applyFill="1" applyBorder="1" applyAlignment="1">
      <alignment horizontal="center"/>
    </xf>
    <xf numFmtId="0" fontId="6" fillId="0" borderId="37" xfId="0" applyFont="1" applyFill="1" applyBorder="1" applyAlignment="1">
      <alignment wrapText="1"/>
    </xf>
    <xf numFmtId="0" fontId="7" fillId="0" borderId="6" xfId="0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wrapText="1"/>
    </xf>
    <xf numFmtId="0" fontId="7" fillId="0" borderId="38" xfId="0" applyFont="1" applyFill="1" applyBorder="1" applyAlignment="1">
      <alignment wrapText="1"/>
    </xf>
    <xf numFmtId="0" fontId="7" fillId="0" borderId="36" xfId="0" applyFont="1" applyFill="1" applyBorder="1" applyAlignment="1">
      <alignment horizontal="center" vertical="center"/>
    </xf>
    <xf numFmtId="0" fontId="7" fillId="0" borderId="46" xfId="0" applyFont="1" applyFill="1" applyBorder="1" applyAlignment="1">
      <alignment wrapText="1"/>
    </xf>
    <xf numFmtId="0" fontId="17" fillId="0" borderId="8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/>
    </xf>
    <xf numFmtId="0" fontId="7" fillId="0" borderId="0" xfId="0" applyFont="1" applyFill="1" applyAlignment="1">
      <alignment vertical="top"/>
    </xf>
    <xf numFmtId="0" fontId="6" fillId="4" borderId="4" xfId="0" applyFont="1" applyFill="1" applyBorder="1" applyAlignment="1">
      <alignment horizontal="center"/>
    </xf>
    <xf numFmtId="0" fontId="18" fillId="4" borderId="9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/>
    </xf>
    <xf numFmtId="0" fontId="6" fillId="4" borderId="31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6" fillId="4" borderId="23" xfId="0" applyFont="1" applyFill="1" applyBorder="1" applyAlignment="1">
      <alignment horizontal="center"/>
    </xf>
    <xf numFmtId="0" fontId="7" fillId="5" borderId="20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wrapText="1"/>
    </xf>
    <xf numFmtId="0" fontId="6" fillId="0" borderId="54" xfId="0" applyFont="1" applyFill="1" applyBorder="1" applyAlignment="1">
      <alignment wrapText="1"/>
    </xf>
    <xf numFmtId="0" fontId="0" fillId="0" borderId="48" xfId="0" applyFill="1" applyBorder="1"/>
    <xf numFmtId="0" fontId="0" fillId="0" borderId="42" xfId="0" applyFill="1" applyBorder="1"/>
    <xf numFmtId="0" fontId="0" fillId="0" borderId="10" xfId="0" applyFill="1" applyBorder="1"/>
    <xf numFmtId="0" fontId="0" fillId="0" borderId="54" xfId="0" applyFill="1" applyBorder="1"/>
    <xf numFmtId="0" fontId="6" fillId="0" borderId="55" xfId="0" applyFont="1" applyFill="1" applyBorder="1" applyAlignment="1">
      <alignment wrapText="1"/>
    </xf>
    <xf numFmtId="0" fontId="6" fillId="0" borderId="29" xfId="0" applyFont="1" applyFill="1" applyBorder="1" applyAlignment="1">
      <alignment horizontal="center"/>
    </xf>
    <xf numFmtId="0" fontId="7" fillId="0" borderId="35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 vertical="center"/>
    </xf>
    <xf numFmtId="0" fontId="7" fillId="0" borderId="57" xfId="0" applyFont="1" applyFill="1" applyBorder="1" applyAlignment="1">
      <alignment horizontal="center" vertical="center"/>
    </xf>
    <xf numFmtId="0" fontId="2" fillId="0" borderId="33" xfId="1" applyFont="1" applyFill="1" applyAlignment="1">
      <alignment horizontal="left" vertical="center"/>
    </xf>
    <xf numFmtId="0" fontId="7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7" fillId="0" borderId="42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0" fillId="7" borderId="0" xfId="0" applyFill="1"/>
    <xf numFmtId="0" fontId="7" fillId="7" borderId="14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left" vertical="center"/>
    </xf>
    <xf numFmtId="0" fontId="7" fillId="7" borderId="14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left" vertical="center" wrapText="1"/>
    </xf>
    <xf numFmtId="0" fontId="7" fillId="0" borderId="14" xfId="0" applyFont="1" applyFill="1" applyBorder="1" applyAlignment="1">
      <alignment horizontal="left" vertical="center" wrapText="1"/>
    </xf>
    <xf numFmtId="0" fontId="7" fillId="7" borderId="14" xfId="0" applyFont="1" applyFill="1" applyBorder="1" applyAlignment="1">
      <alignment horizontal="left" vertical="center" wrapText="1"/>
    </xf>
    <xf numFmtId="0" fontId="8" fillId="7" borderId="14" xfId="0" applyFont="1" applyFill="1" applyBorder="1" applyAlignment="1">
      <alignment horizontal="left" vertical="center"/>
    </xf>
    <xf numFmtId="0" fontId="6" fillId="7" borderId="24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8" fillId="7" borderId="9" xfId="0" applyFont="1" applyFill="1" applyBorder="1" applyAlignment="1">
      <alignment horizontal="center" vertical="center"/>
    </xf>
    <xf numFmtId="0" fontId="6" fillId="7" borderId="24" xfId="0" applyFont="1" applyFill="1" applyBorder="1" applyAlignment="1">
      <alignment horizontal="center" wrapText="1"/>
    </xf>
    <xf numFmtId="0" fontId="2" fillId="7" borderId="33" xfId="1" applyFont="1" applyFill="1" applyAlignment="1">
      <alignment horizontal="left" vertical="center"/>
    </xf>
    <xf numFmtId="0" fontId="7" fillId="7" borderId="14" xfId="0" quotePrefix="1" applyFont="1" applyFill="1" applyBorder="1" applyAlignment="1">
      <alignment horizontal="left" vertical="center"/>
    </xf>
    <xf numFmtId="0" fontId="7" fillId="7" borderId="14" xfId="0" applyFont="1" applyFill="1" applyBorder="1" applyAlignment="1">
      <alignment horizontal="left"/>
    </xf>
    <xf numFmtId="0" fontId="9" fillId="7" borderId="33" xfId="1" applyFont="1" applyFill="1" applyAlignment="1">
      <alignment horizontal="center" vertical="center"/>
    </xf>
    <xf numFmtId="0" fontId="7" fillId="7" borderId="9" xfId="0" applyFont="1" applyFill="1" applyBorder="1" applyAlignment="1">
      <alignment horizontal="center"/>
    </xf>
    <xf numFmtId="0" fontId="6" fillId="7" borderId="26" xfId="0" applyFont="1" applyFill="1" applyBorder="1" applyAlignment="1">
      <alignment horizontal="center"/>
    </xf>
    <xf numFmtId="0" fontId="17" fillId="7" borderId="14" xfId="0" applyFont="1" applyFill="1" applyBorder="1" applyAlignment="1">
      <alignment horizontal="left" vertical="center"/>
    </xf>
    <xf numFmtId="0" fontId="17" fillId="7" borderId="9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left" vertical="center" wrapText="1"/>
    </xf>
    <xf numFmtId="0" fontId="7" fillId="7" borderId="35" xfId="0" applyFont="1" applyFill="1" applyBorder="1" applyAlignment="1">
      <alignment horizontal="left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7" fillId="7" borderId="35" xfId="0" applyFont="1" applyFill="1" applyBorder="1" applyAlignment="1">
      <alignment horizontal="center" vertical="center"/>
    </xf>
    <xf numFmtId="0" fontId="7" fillId="7" borderId="34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7" fillId="7" borderId="9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35" xfId="0" applyFont="1" applyFill="1" applyBorder="1" applyAlignment="1">
      <alignment horizontal="left" vertical="center"/>
    </xf>
    <xf numFmtId="0" fontId="19" fillId="7" borderId="14" xfId="0" applyFont="1" applyFill="1" applyBorder="1" applyAlignment="1">
      <alignment horizontal="center" vertical="center"/>
    </xf>
    <xf numFmtId="0" fontId="19" fillId="7" borderId="14" xfId="0" applyFont="1" applyFill="1" applyBorder="1" applyAlignment="1">
      <alignment horizontal="left" vertical="center"/>
    </xf>
    <xf numFmtId="0" fontId="19" fillId="7" borderId="14" xfId="0" applyFont="1" applyFill="1" applyBorder="1" applyAlignment="1">
      <alignment horizontal="center"/>
    </xf>
    <xf numFmtId="0" fontId="19" fillId="7" borderId="9" xfId="0" applyFont="1" applyFill="1" applyBorder="1" applyAlignment="1">
      <alignment horizontal="center" vertical="center"/>
    </xf>
    <xf numFmtId="0" fontId="19" fillId="7" borderId="25" xfId="0" applyFont="1" applyFill="1" applyBorder="1" applyAlignment="1">
      <alignment horizontal="center" vertical="center"/>
    </xf>
    <xf numFmtId="0" fontId="19" fillId="7" borderId="24" xfId="0" applyFont="1" applyFill="1" applyBorder="1" applyAlignment="1">
      <alignment horizontal="center"/>
    </xf>
    <xf numFmtId="0" fontId="20" fillId="7" borderId="0" xfId="0" applyFont="1" applyFill="1"/>
    <xf numFmtId="0" fontId="0" fillId="7" borderId="14" xfId="0" applyFill="1" applyBorder="1" applyAlignment="1">
      <alignment horizontal="left" vertical="center"/>
    </xf>
    <xf numFmtId="0" fontId="0" fillId="7" borderId="9" xfId="0" applyFill="1" applyBorder="1" applyAlignment="1">
      <alignment horizontal="center" vertical="center"/>
    </xf>
    <xf numFmtId="0" fontId="1" fillId="7" borderId="0" xfId="0" applyFont="1" applyFill="1"/>
    <xf numFmtId="0" fontId="4" fillId="0" borderId="0" xfId="0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10" fillId="0" borderId="0" xfId="0" applyFont="1" applyFill="1" applyAlignment="1">
      <alignment horizontal="center"/>
    </xf>
    <xf numFmtId="0" fontId="7" fillId="0" borderId="0" xfId="0" applyFont="1" applyFill="1" applyAlignment="1">
      <alignment horizontal="left" wrapText="1"/>
    </xf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6" fillId="0" borderId="11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6" fillId="0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3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16" fillId="3" borderId="43" xfId="0" applyFont="1" applyFill="1" applyBorder="1" applyAlignment="1">
      <alignment horizontal="center"/>
    </xf>
    <xf numFmtId="0" fontId="16" fillId="3" borderId="44" xfId="0" applyFont="1" applyFill="1" applyBorder="1" applyAlignment="1">
      <alignment horizontal="center"/>
    </xf>
    <xf numFmtId="0" fontId="16" fillId="3" borderId="45" xfId="0" applyFont="1" applyFill="1" applyBorder="1" applyAlignment="1">
      <alignment horizontal="center"/>
    </xf>
    <xf numFmtId="0" fontId="6" fillId="4" borderId="43" xfId="0" applyFont="1" applyFill="1" applyBorder="1" applyAlignment="1">
      <alignment horizontal="center"/>
    </xf>
    <xf numFmtId="0" fontId="6" fillId="4" borderId="44" xfId="0" applyFont="1" applyFill="1" applyBorder="1" applyAlignment="1">
      <alignment horizontal="center"/>
    </xf>
    <xf numFmtId="0" fontId="6" fillId="4" borderId="45" xfId="0" applyFont="1" applyFill="1" applyBorder="1" applyAlignment="1">
      <alignment horizontal="center"/>
    </xf>
    <xf numFmtId="0" fontId="16" fillId="5" borderId="43" xfId="0" applyFont="1" applyFill="1" applyBorder="1" applyAlignment="1">
      <alignment horizontal="center"/>
    </xf>
    <xf numFmtId="0" fontId="16" fillId="5" borderId="44" xfId="0" applyFont="1" applyFill="1" applyBorder="1" applyAlignment="1">
      <alignment horizontal="center"/>
    </xf>
    <xf numFmtId="0" fontId="16" fillId="5" borderId="45" xfId="0" applyFont="1" applyFill="1" applyBorder="1" applyAlignment="1">
      <alignment horizontal="center"/>
    </xf>
    <xf numFmtId="0" fontId="6" fillId="0" borderId="43" xfId="0" applyFont="1" applyFill="1" applyBorder="1" applyAlignment="1">
      <alignment horizontal="center"/>
    </xf>
    <xf numFmtId="0" fontId="6" fillId="0" borderId="44" xfId="0" applyFont="1" applyFill="1" applyBorder="1" applyAlignment="1">
      <alignment horizontal="center"/>
    </xf>
    <xf numFmtId="0" fontId="6" fillId="0" borderId="45" xfId="0" applyFont="1" applyFill="1" applyBorder="1" applyAlignment="1">
      <alignment horizontal="center"/>
    </xf>
    <xf numFmtId="0" fontId="7" fillId="0" borderId="47" xfId="0" applyFont="1" applyFill="1" applyBorder="1" applyAlignment="1">
      <alignment horizontal="center" vertical="center"/>
    </xf>
    <xf numFmtId="0" fontId="7" fillId="0" borderId="50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48" xfId="0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6" fillId="4" borderId="4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17" fontId="6" fillId="4" borderId="5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left"/>
    </xf>
    <xf numFmtId="0" fontId="6" fillId="4" borderId="4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center"/>
    </xf>
    <xf numFmtId="0" fontId="6" fillId="4" borderId="28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6" fillId="4" borderId="30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16" fillId="5" borderId="51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5" borderId="18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Calculation" xfId="1" builtinId="22"/>
    <cellStyle name="Normal" xfId="0" builtinId="0"/>
  </cellStyles>
  <dxfs count="991"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/>
        </patternFill>
      </fill>
    </dxf>
    <dxf>
      <fill>
        <patternFill>
          <bgColor rgb="FFFF3399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  <fill>
        <patternFill patternType="solid"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8" tint="0.3999450666829432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FF66"/>
      <color rgb="FFFFCCFF"/>
      <color rgb="FFFFCCCC"/>
      <color rgb="FFFF3399"/>
      <color rgb="FFFD9369"/>
      <color rgb="FFFDBE69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A3F9-01CF-4FA7-87F0-97AD3464F20E}">
  <sheetPr>
    <pageSetUpPr fitToPage="1"/>
  </sheetPr>
  <dimension ref="A1:BB258"/>
  <sheetViews>
    <sheetView tabSelected="1" zoomScale="70" zoomScaleNormal="70" workbookViewId="0">
      <pane xSplit="1" ySplit="5" topLeftCell="B203" activePane="bottomRight" state="frozen"/>
      <selection pane="topRight" activeCell="B1" sqref="B1"/>
      <selection pane="bottomLeft" activeCell="A6" sqref="A6"/>
      <selection pane="bottomRight" activeCell="AU222" sqref="AU222"/>
    </sheetView>
  </sheetViews>
  <sheetFormatPr defaultColWidth="9" defaultRowHeight="15"/>
  <cols>
    <col min="1" max="1" width="5.7109375" style="72" customWidth="1"/>
    <col min="2" max="2" width="19.5703125" style="72" customWidth="1"/>
    <col min="3" max="3" width="24.28515625" style="72" hidden="1" customWidth="1"/>
    <col min="4" max="4" width="25" style="117" hidden="1" customWidth="1"/>
    <col min="5" max="5" width="13.42578125" style="72" hidden="1" customWidth="1"/>
    <col min="6" max="6" width="40.5703125" style="117" hidden="1" customWidth="1"/>
    <col min="7" max="7" width="5.7109375" style="117" hidden="1" customWidth="1"/>
    <col min="8" max="9" width="5.28515625" style="72" customWidth="1"/>
    <col min="10" max="10" width="5.28515625" style="72" hidden="1" customWidth="1"/>
    <col min="11" max="11" width="5.28515625" style="72" customWidth="1"/>
    <col min="12" max="12" width="5.42578125" style="72" hidden="1" customWidth="1"/>
    <col min="13" max="18" width="5.42578125" style="72" customWidth="1"/>
    <col min="19" max="19" width="5.42578125" style="72" hidden="1" customWidth="1"/>
    <col min="20" max="25" width="5.42578125" style="72" customWidth="1"/>
    <col min="26" max="26" width="5.42578125" style="72" hidden="1" customWidth="1"/>
    <col min="27" max="32" width="5.42578125" style="72" customWidth="1"/>
    <col min="33" max="33" width="5.42578125" style="72" hidden="1" customWidth="1"/>
    <col min="34" max="37" width="5.42578125" style="72" customWidth="1"/>
    <col min="38" max="41" width="5.42578125" style="72" hidden="1" customWidth="1"/>
    <col min="42" max="42" width="6.28515625" style="72" hidden="1" customWidth="1"/>
    <col min="43" max="45" width="5.42578125" style="72" hidden="1" customWidth="1"/>
    <col min="46" max="46" width="20.7109375" style="72" customWidth="1"/>
    <col min="47" max="16384" width="9" style="72"/>
  </cols>
  <sheetData>
    <row r="1" spans="1:52" ht="29.25" customHeight="1">
      <c r="A1" s="222" t="s">
        <v>179</v>
      </c>
      <c r="B1" s="223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2"/>
      <c r="AP1" s="222"/>
      <c r="AQ1" s="222"/>
      <c r="AR1" s="222"/>
      <c r="AS1" s="222"/>
      <c r="AT1" s="222"/>
      <c r="AU1" s="222"/>
      <c r="AV1" s="222"/>
      <c r="AW1" s="222"/>
    </row>
    <row r="2" spans="1:52" ht="29.25" customHeight="1">
      <c r="A2" s="222" t="s">
        <v>0</v>
      </c>
      <c r="B2" s="223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  <c r="U2" s="222"/>
      <c r="V2" s="222"/>
      <c r="W2" s="222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2"/>
      <c r="AM2" s="222"/>
      <c r="AN2" s="222"/>
      <c r="AO2" s="222"/>
      <c r="AP2" s="222"/>
      <c r="AQ2" s="222"/>
      <c r="AR2" s="222"/>
      <c r="AS2" s="222"/>
      <c r="AT2" s="222"/>
    </row>
    <row r="3" spans="1:52" ht="29.25" customHeight="1" thickBot="1">
      <c r="A3" s="222" t="s">
        <v>187</v>
      </c>
      <c r="B3" s="223"/>
      <c r="C3" s="222"/>
      <c r="D3" s="222"/>
      <c r="E3" s="222"/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2"/>
      <c r="T3" s="222"/>
      <c r="U3" s="222"/>
      <c r="V3" s="222"/>
      <c r="W3" s="222"/>
      <c r="X3" s="222"/>
      <c r="Y3" s="222"/>
      <c r="Z3" s="222"/>
      <c r="AA3" s="222"/>
      <c r="AB3" s="222"/>
      <c r="AC3" s="222"/>
      <c r="AD3" s="222"/>
      <c r="AE3" s="222"/>
      <c r="AF3" s="222"/>
      <c r="AG3" s="222"/>
      <c r="AH3" s="222"/>
      <c r="AI3" s="222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2"/>
      <c r="AZ3" s="73"/>
    </row>
    <row r="4" spans="1:52" ht="20.65" customHeight="1">
      <c r="A4" s="252" t="s">
        <v>1</v>
      </c>
      <c r="B4" s="255" t="s">
        <v>2</v>
      </c>
      <c r="C4" s="256"/>
      <c r="D4" s="138" t="s">
        <v>3</v>
      </c>
      <c r="E4" s="268" t="s">
        <v>4</v>
      </c>
      <c r="F4" s="270" t="s">
        <v>5</v>
      </c>
      <c r="G4" s="169"/>
      <c r="H4" s="259">
        <v>46113</v>
      </c>
      <c r="I4" s="259"/>
      <c r="J4" s="259"/>
      <c r="K4" s="259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C4" s="260"/>
      <c r="AD4" s="260"/>
      <c r="AE4" s="260"/>
      <c r="AF4" s="260"/>
      <c r="AG4" s="260"/>
      <c r="AH4" s="260"/>
      <c r="AI4" s="260"/>
      <c r="AJ4" s="260"/>
      <c r="AK4" s="260"/>
      <c r="AL4" s="272" t="s">
        <v>6</v>
      </c>
      <c r="AM4" s="273"/>
      <c r="AN4" s="274"/>
      <c r="AO4" s="274"/>
      <c r="AP4" s="274"/>
      <c r="AQ4" s="274"/>
      <c r="AR4" s="274"/>
      <c r="AS4" s="275"/>
      <c r="AT4" s="276" t="s">
        <v>7</v>
      </c>
    </row>
    <row r="5" spans="1:52" ht="20.65" customHeight="1">
      <c r="A5" s="253"/>
      <c r="B5" s="257"/>
      <c r="C5" s="258"/>
      <c r="D5" s="20" t="s">
        <v>8</v>
      </c>
      <c r="E5" s="269"/>
      <c r="F5" s="271"/>
      <c r="G5" s="170"/>
      <c r="H5" s="170">
        <v>1</v>
      </c>
      <c r="I5" s="170">
        <v>2</v>
      </c>
      <c r="J5" s="139">
        <v>3</v>
      </c>
      <c r="K5" s="170">
        <v>4</v>
      </c>
      <c r="L5" s="139">
        <v>5</v>
      </c>
      <c r="M5" s="170">
        <v>6</v>
      </c>
      <c r="N5" s="170">
        <v>7</v>
      </c>
      <c r="O5" s="170">
        <v>8</v>
      </c>
      <c r="P5" s="170">
        <v>9</v>
      </c>
      <c r="Q5" s="170">
        <v>10</v>
      </c>
      <c r="R5" s="170">
        <v>11</v>
      </c>
      <c r="S5" s="139">
        <v>12</v>
      </c>
      <c r="T5" s="170">
        <v>13</v>
      </c>
      <c r="U5" s="170">
        <v>14</v>
      </c>
      <c r="V5" s="170">
        <v>15</v>
      </c>
      <c r="W5" s="170">
        <v>16</v>
      </c>
      <c r="X5" s="170">
        <v>17</v>
      </c>
      <c r="Y5" s="170">
        <v>18</v>
      </c>
      <c r="Z5" s="139">
        <v>19</v>
      </c>
      <c r="AA5" s="170">
        <v>20</v>
      </c>
      <c r="AB5" s="170">
        <v>21</v>
      </c>
      <c r="AC5" s="170">
        <v>22</v>
      </c>
      <c r="AD5" s="170">
        <v>23</v>
      </c>
      <c r="AE5" s="170">
        <v>24</v>
      </c>
      <c r="AF5" s="170">
        <v>25</v>
      </c>
      <c r="AG5" s="139">
        <v>26</v>
      </c>
      <c r="AH5" s="170">
        <v>27</v>
      </c>
      <c r="AI5" s="170">
        <v>28</v>
      </c>
      <c r="AJ5" s="170">
        <v>29</v>
      </c>
      <c r="AK5" s="170">
        <v>30</v>
      </c>
      <c r="AL5" s="18" t="s">
        <v>9</v>
      </c>
      <c r="AM5" s="19" t="s">
        <v>10</v>
      </c>
      <c r="AN5" s="20" t="s">
        <v>11</v>
      </c>
      <c r="AO5" s="20" t="s">
        <v>12</v>
      </c>
      <c r="AP5" s="20" t="s">
        <v>13</v>
      </c>
      <c r="AQ5" s="20" t="s">
        <v>14</v>
      </c>
      <c r="AR5" s="20" t="s">
        <v>15</v>
      </c>
      <c r="AS5" s="21" t="s">
        <v>16</v>
      </c>
      <c r="AT5" s="277"/>
    </row>
    <row r="6" spans="1:52" ht="20.65" customHeight="1" thickBot="1">
      <c r="A6" s="254"/>
      <c r="B6" s="264" t="s">
        <v>17</v>
      </c>
      <c r="C6" s="265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67"/>
      <c r="AM6" s="167"/>
      <c r="AN6" s="167"/>
      <c r="AO6" s="167"/>
      <c r="AP6" s="167"/>
      <c r="AQ6" s="167"/>
      <c r="AR6" s="167"/>
      <c r="AS6" s="167"/>
      <c r="AT6" s="141"/>
    </row>
    <row r="7" spans="1:52" s="171" customFormat="1" ht="18" customHeight="1">
      <c r="A7" s="175">
        <v>1</v>
      </c>
      <c r="B7" s="200" t="s">
        <v>122</v>
      </c>
      <c r="C7" s="200" t="s">
        <v>123</v>
      </c>
      <c r="D7" s="172" t="s">
        <v>162</v>
      </c>
      <c r="E7" s="190" t="s">
        <v>19</v>
      </c>
      <c r="F7" s="173" t="s">
        <v>124</v>
      </c>
      <c r="G7" s="175"/>
      <c r="H7" s="175" t="s">
        <v>9</v>
      </c>
      <c r="I7" s="175" t="s">
        <v>9</v>
      </c>
      <c r="J7" s="175"/>
      <c r="K7" s="175" t="s">
        <v>9</v>
      </c>
      <c r="L7" s="175"/>
      <c r="M7" s="175" t="s">
        <v>9</v>
      </c>
      <c r="N7" s="175" t="s">
        <v>9</v>
      </c>
      <c r="O7" s="175" t="s">
        <v>9</v>
      </c>
      <c r="P7" s="175" t="s">
        <v>9</v>
      </c>
      <c r="Q7" s="175" t="s">
        <v>9</v>
      </c>
      <c r="R7" s="175" t="s">
        <v>9</v>
      </c>
      <c r="S7" s="175"/>
      <c r="T7" s="175" t="s">
        <v>9</v>
      </c>
      <c r="U7" s="175" t="s">
        <v>9</v>
      </c>
      <c r="V7" s="175" t="s">
        <v>9</v>
      </c>
      <c r="W7" s="175" t="s">
        <v>9</v>
      </c>
      <c r="X7" s="175" t="s">
        <v>9</v>
      </c>
      <c r="Y7" s="175" t="s">
        <v>9</v>
      </c>
      <c r="Z7" s="175"/>
      <c r="AA7" s="175" t="s">
        <v>9</v>
      </c>
      <c r="AB7" s="175" t="s">
        <v>9</v>
      </c>
      <c r="AC7" s="175" t="s">
        <v>9</v>
      </c>
      <c r="AD7" s="175" t="s">
        <v>9</v>
      </c>
      <c r="AE7" s="175" t="s">
        <v>9</v>
      </c>
      <c r="AF7" s="175" t="s">
        <v>9</v>
      </c>
      <c r="AG7" s="175"/>
      <c r="AH7" s="175" t="s">
        <v>9</v>
      </c>
      <c r="AI7" s="175" t="s">
        <v>9</v>
      </c>
      <c r="AJ7" s="175" t="s">
        <v>9</v>
      </c>
      <c r="AK7" s="175" t="s">
        <v>9</v>
      </c>
      <c r="AL7" s="175">
        <f t="shared" ref="AL7:AL38" si="0">COUNTIF(H7:AK7,"H")</f>
        <v>25</v>
      </c>
      <c r="AM7" s="175">
        <f t="shared" ref="AM7:AM38" si="1">COUNTIF(H7:AK7,"S")</f>
        <v>0</v>
      </c>
      <c r="AN7" s="175">
        <f t="shared" ref="AN7:AN38" si="2">COUNTIF(H7:AK7,"I")</f>
        <v>0</v>
      </c>
      <c r="AO7" s="175">
        <f t="shared" ref="AO7:AO38" si="3">COUNTIF(H7:AK7,"C")</f>
        <v>0</v>
      </c>
      <c r="AP7" s="175">
        <f t="shared" ref="AP7:AP38" si="4">COUNTIF(H7:AK7,"DL")</f>
        <v>0</v>
      </c>
      <c r="AQ7" s="175">
        <f t="shared" ref="AQ7:AQ38" si="5">COUNTIF(H7:AK7,"CB")</f>
        <v>0</v>
      </c>
      <c r="AR7" s="175">
        <f t="shared" ref="AR7:AR38" si="6">COUNTIF(H7:AK7,"IB")</f>
        <v>0</v>
      </c>
      <c r="AS7" s="201">
        <f t="shared" ref="AS7:AS38" si="7">COUNTIF(H7:AK7,"TK")</f>
        <v>0</v>
      </c>
      <c r="AT7" s="177"/>
    </row>
    <row r="8" spans="1:52" s="171" customFormat="1" ht="18" customHeight="1">
      <c r="A8" s="172">
        <v>2</v>
      </c>
      <c r="B8" s="173" t="s">
        <v>96</v>
      </c>
      <c r="C8" s="173" t="s">
        <v>20</v>
      </c>
      <c r="D8" s="172" t="s">
        <v>36</v>
      </c>
      <c r="E8" s="174" t="s">
        <v>19</v>
      </c>
      <c r="F8" s="173" t="s">
        <v>21</v>
      </c>
      <c r="G8" s="175"/>
      <c r="H8" s="175" t="s">
        <v>9</v>
      </c>
      <c r="I8" s="175" t="s">
        <v>9</v>
      </c>
      <c r="J8" s="175"/>
      <c r="K8" s="175" t="s">
        <v>9</v>
      </c>
      <c r="L8" s="175"/>
      <c r="M8" s="175" t="s">
        <v>9</v>
      </c>
      <c r="N8" s="175" t="s">
        <v>9</v>
      </c>
      <c r="O8" s="175" t="s">
        <v>9</v>
      </c>
      <c r="P8" s="175" t="s">
        <v>9</v>
      </c>
      <c r="Q8" s="175" t="s">
        <v>9</v>
      </c>
      <c r="R8" s="175" t="s">
        <v>9</v>
      </c>
      <c r="S8" s="175"/>
      <c r="T8" s="175" t="s">
        <v>9</v>
      </c>
      <c r="U8" s="175" t="s">
        <v>9</v>
      </c>
      <c r="V8" s="175" t="s">
        <v>9</v>
      </c>
      <c r="W8" s="175" t="s">
        <v>9</v>
      </c>
      <c r="X8" s="175" t="s">
        <v>9</v>
      </c>
      <c r="Y8" s="175" t="s">
        <v>9</v>
      </c>
      <c r="Z8" s="175"/>
      <c r="AA8" s="175" t="s">
        <v>9</v>
      </c>
      <c r="AB8" s="175" t="s">
        <v>9</v>
      </c>
      <c r="AC8" s="175" t="s">
        <v>9</v>
      </c>
      <c r="AD8" s="175" t="s">
        <v>9</v>
      </c>
      <c r="AE8" s="175" t="s">
        <v>9</v>
      </c>
      <c r="AF8" s="175" t="s">
        <v>9</v>
      </c>
      <c r="AG8" s="175"/>
      <c r="AH8" s="175" t="s">
        <v>9</v>
      </c>
      <c r="AI8" s="175" t="s">
        <v>9</v>
      </c>
      <c r="AJ8" s="175" t="s">
        <v>9</v>
      </c>
      <c r="AK8" s="175" t="s">
        <v>9</v>
      </c>
      <c r="AL8" s="172">
        <f t="shared" si="0"/>
        <v>25</v>
      </c>
      <c r="AM8" s="172">
        <f t="shared" si="1"/>
        <v>0</v>
      </c>
      <c r="AN8" s="172">
        <f t="shared" si="2"/>
        <v>0</v>
      </c>
      <c r="AO8" s="172">
        <f t="shared" si="3"/>
        <v>0</v>
      </c>
      <c r="AP8" s="172">
        <f t="shared" si="4"/>
        <v>0</v>
      </c>
      <c r="AQ8" s="172">
        <f t="shared" si="5"/>
        <v>0</v>
      </c>
      <c r="AR8" s="172">
        <f t="shared" si="6"/>
        <v>0</v>
      </c>
      <c r="AS8" s="176">
        <f t="shared" si="7"/>
        <v>0</v>
      </c>
      <c r="AT8" s="177"/>
    </row>
    <row r="9" spans="1:52" s="171" customFormat="1" ht="18" customHeight="1">
      <c r="A9" s="175">
        <v>3</v>
      </c>
      <c r="B9" s="173" t="s">
        <v>26</v>
      </c>
      <c r="C9" s="173" t="s">
        <v>27</v>
      </c>
      <c r="D9" s="172" t="s">
        <v>90</v>
      </c>
      <c r="E9" s="174" t="s">
        <v>24</v>
      </c>
      <c r="F9" s="173" t="s">
        <v>25</v>
      </c>
      <c r="G9" s="175"/>
      <c r="H9" s="175" t="s">
        <v>11</v>
      </c>
      <c r="I9" s="175" t="s">
        <v>9</v>
      </c>
      <c r="J9" s="175"/>
      <c r="K9" s="175" t="s">
        <v>9</v>
      </c>
      <c r="L9" s="175"/>
      <c r="M9" s="175" t="s">
        <v>9</v>
      </c>
      <c r="N9" s="175" t="s">
        <v>9</v>
      </c>
      <c r="O9" s="175" t="s">
        <v>9</v>
      </c>
      <c r="P9" s="175" t="s">
        <v>9</v>
      </c>
      <c r="Q9" s="175" t="s">
        <v>9</v>
      </c>
      <c r="R9" s="175" t="s">
        <v>9</v>
      </c>
      <c r="S9" s="175"/>
      <c r="T9" s="175" t="s">
        <v>9</v>
      </c>
      <c r="U9" s="175" t="s">
        <v>9</v>
      </c>
      <c r="V9" s="175" t="s">
        <v>9</v>
      </c>
      <c r="W9" s="175" t="s">
        <v>9</v>
      </c>
      <c r="X9" s="175" t="s">
        <v>9</v>
      </c>
      <c r="Y9" s="175" t="s">
        <v>9</v>
      </c>
      <c r="Z9" s="175"/>
      <c r="AA9" s="175" t="s">
        <v>9</v>
      </c>
      <c r="AB9" s="175" t="s">
        <v>9</v>
      </c>
      <c r="AC9" s="175" t="s">
        <v>9</v>
      </c>
      <c r="AD9" s="175" t="s">
        <v>9</v>
      </c>
      <c r="AE9" s="175" t="s">
        <v>9</v>
      </c>
      <c r="AF9" s="175" t="s">
        <v>9</v>
      </c>
      <c r="AG9" s="175"/>
      <c r="AH9" s="175" t="s">
        <v>9</v>
      </c>
      <c r="AI9" s="175" t="s">
        <v>9</v>
      </c>
      <c r="AJ9" s="175" t="s">
        <v>9</v>
      </c>
      <c r="AK9" s="175" t="s">
        <v>9</v>
      </c>
      <c r="AL9" s="172">
        <f t="shared" si="0"/>
        <v>24</v>
      </c>
      <c r="AM9" s="172">
        <f t="shared" si="1"/>
        <v>0</v>
      </c>
      <c r="AN9" s="172">
        <f t="shared" si="2"/>
        <v>1</v>
      </c>
      <c r="AO9" s="172">
        <f t="shared" si="3"/>
        <v>0</v>
      </c>
      <c r="AP9" s="172">
        <f t="shared" si="4"/>
        <v>0</v>
      </c>
      <c r="AQ9" s="172">
        <f t="shared" si="5"/>
        <v>0</v>
      </c>
      <c r="AR9" s="172">
        <f t="shared" si="6"/>
        <v>0</v>
      </c>
      <c r="AS9" s="176">
        <f t="shared" si="7"/>
        <v>0</v>
      </c>
      <c r="AT9" s="177"/>
    </row>
    <row r="10" spans="1:52" s="171" customFormat="1" ht="18" customHeight="1">
      <c r="A10" s="172">
        <v>4</v>
      </c>
      <c r="B10" s="173" t="s">
        <v>22</v>
      </c>
      <c r="C10" s="173" t="s">
        <v>23</v>
      </c>
      <c r="D10" s="172" t="s">
        <v>90</v>
      </c>
      <c r="E10" s="174" t="s">
        <v>24</v>
      </c>
      <c r="F10" s="173" t="s">
        <v>25</v>
      </c>
      <c r="G10" s="175"/>
      <c r="H10" s="175" t="s">
        <v>9</v>
      </c>
      <c r="I10" s="175" t="s">
        <v>9</v>
      </c>
      <c r="J10" s="175"/>
      <c r="K10" s="175" t="s">
        <v>9</v>
      </c>
      <c r="L10" s="175"/>
      <c r="M10" s="175" t="s">
        <v>9</v>
      </c>
      <c r="N10" s="175" t="s">
        <v>9</v>
      </c>
      <c r="O10" s="175" t="s">
        <v>9</v>
      </c>
      <c r="P10" s="175" t="s">
        <v>9</v>
      </c>
      <c r="Q10" s="175" t="s">
        <v>9</v>
      </c>
      <c r="R10" s="175" t="s">
        <v>9</v>
      </c>
      <c r="S10" s="175"/>
      <c r="T10" s="175" t="s">
        <v>9</v>
      </c>
      <c r="U10" s="175" t="s">
        <v>9</v>
      </c>
      <c r="V10" s="175" t="s">
        <v>9</v>
      </c>
      <c r="W10" s="175" t="s">
        <v>9</v>
      </c>
      <c r="X10" s="175" t="s">
        <v>9</v>
      </c>
      <c r="Y10" s="175" t="s">
        <v>9</v>
      </c>
      <c r="Z10" s="175"/>
      <c r="AA10" s="175" t="s">
        <v>9</v>
      </c>
      <c r="AB10" s="175" t="s">
        <v>9</v>
      </c>
      <c r="AC10" s="175" t="s">
        <v>9</v>
      </c>
      <c r="AD10" s="175" t="s">
        <v>9</v>
      </c>
      <c r="AE10" s="175" t="s">
        <v>9</v>
      </c>
      <c r="AF10" s="175" t="s">
        <v>10</v>
      </c>
      <c r="AG10" s="175"/>
      <c r="AH10" s="175" t="s">
        <v>9</v>
      </c>
      <c r="AI10" s="175" t="s">
        <v>9</v>
      </c>
      <c r="AJ10" s="175" t="s">
        <v>9</v>
      </c>
      <c r="AK10" s="175" t="s">
        <v>9</v>
      </c>
      <c r="AL10" s="172">
        <f t="shared" si="0"/>
        <v>24</v>
      </c>
      <c r="AM10" s="172">
        <f t="shared" si="1"/>
        <v>1</v>
      </c>
      <c r="AN10" s="172">
        <f t="shared" si="2"/>
        <v>0</v>
      </c>
      <c r="AO10" s="172">
        <f t="shared" si="3"/>
        <v>0</v>
      </c>
      <c r="AP10" s="172">
        <f t="shared" si="4"/>
        <v>0</v>
      </c>
      <c r="AQ10" s="172">
        <f t="shared" si="5"/>
        <v>0</v>
      </c>
      <c r="AR10" s="172">
        <f t="shared" si="6"/>
        <v>0</v>
      </c>
      <c r="AS10" s="176">
        <f t="shared" si="7"/>
        <v>0</v>
      </c>
      <c r="AT10" s="177"/>
    </row>
    <row r="11" spans="1:52" s="171" customFormat="1" ht="18" customHeight="1">
      <c r="A11" s="175">
        <v>5</v>
      </c>
      <c r="B11" s="173" t="s">
        <v>28</v>
      </c>
      <c r="C11" s="173" t="s">
        <v>29</v>
      </c>
      <c r="D11" s="172" t="s">
        <v>121</v>
      </c>
      <c r="E11" s="174" t="s">
        <v>24</v>
      </c>
      <c r="F11" s="173" t="s">
        <v>181</v>
      </c>
      <c r="G11" s="175"/>
      <c r="H11" s="175" t="s">
        <v>9</v>
      </c>
      <c r="I11" s="175" t="s">
        <v>9</v>
      </c>
      <c r="J11" s="175"/>
      <c r="K11" s="175" t="s">
        <v>9</v>
      </c>
      <c r="L11" s="175"/>
      <c r="M11" s="175" t="s">
        <v>13</v>
      </c>
      <c r="N11" s="175" t="s">
        <v>9</v>
      </c>
      <c r="O11" s="175" t="s">
        <v>9</v>
      </c>
      <c r="P11" s="175" t="s">
        <v>9</v>
      </c>
      <c r="Q11" s="175" t="s">
        <v>9</v>
      </c>
      <c r="R11" s="175" t="s">
        <v>9</v>
      </c>
      <c r="S11" s="175"/>
      <c r="T11" s="175" t="s">
        <v>9</v>
      </c>
      <c r="U11" s="175" t="s">
        <v>13</v>
      </c>
      <c r="V11" s="175" t="s">
        <v>9</v>
      </c>
      <c r="W11" s="175" t="s">
        <v>9</v>
      </c>
      <c r="X11" s="175" t="s">
        <v>9</v>
      </c>
      <c r="Y11" s="175" t="s">
        <v>9</v>
      </c>
      <c r="Z11" s="175"/>
      <c r="AA11" s="175" t="s">
        <v>9</v>
      </c>
      <c r="AB11" s="175" t="s">
        <v>9</v>
      </c>
      <c r="AC11" s="175" t="s">
        <v>9</v>
      </c>
      <c r="AD11" s="175" t="s">
        <v>11</v>
      </c>
      <c r="AE11" s="175" t="s">
        <v>9</v>
      </c>
      <c r="AF11" s="175" t="s">
        <v>9</v>
      </c>
      <c r="AG11" s="175"/>
      <c r="AH11" s="175" t="s">
        <v>9</v>
      </c>
      <c r="AI11" s="175" t="s">
        <v>9</v>
      </c>
      <c r="AJ11" s="175" t="s">
        <v>9</v>
      </c>
      <c r="AK11" s="175" t="s">
        <v>9</v>
      </c>
      <c r="AL11" s="172">
        <f t="shared" si="0"/>
        <v>22</v>
      </c>
      <c r="AM11" s="172">
        <f t="shared" si="1"/>
        <v>0</v>
      </c>
      <c r="AN11" s="172">
        <f t="shared" si="2"/>
        <v>1</v>
      </c>
      <c r="AO11" s="172">
        <f t="shared" si="3"/>
        <v>0</v>
      </c>
      <c r="AP11" s="172">
        <f t="shared" si="4"/>
        <v>2</v>
      </c>
      <c r="AQ11" s="172">
        <f t="shared" si="5"/>
        <v>0</v>
      </c>
      <c r="AR11" s="172">
        <f t="shared" si="6"/>
        <v>0</v>
      </c>
      <c r="AS11" s="176">
        <f t="shared" si="7"/>
        <v>0</v>
      </c>
      <c r="AT11" s="177"/>
    </row>
    <row r="12" spans="1:52" s="171" customFormat="1" ht="18" customHeight="1">
      <c r="A12" s="172">
        <v>6</v>
      </c>
      <c r="B12" s="173" t="s">
        <v>30</v>
      </c>
      <c r="C12" s="173" t="s">
        <v>31</v>
      </c>
      <c r="D12" s="172" t="s">
        <v>36</v>
      </c>
      <c r="E12" s="174" t="s">
        <v>24</v>
      </c>
      <c r="F12" s="173" t="s">
        <v>91</v>
      </c>
      <c r="G12" s="175"/>
      <c r="H12" s="175" t="s">
        <v>9</v>
      </c>
      <c r="I12" s="175" t="s">
        <v>9</v>
      </c>
      <c r="J12" s="175"/>
      <c r="K12" s="175" t="s">
        <v>9</v>
      </c>
      <c r="L12" s="175"/>
      <c r="M12" s="175" t="s">
        <v>9</v>
      </c>
      <c r="N12" s="175" t="s">
        <v>9</v>
      </c>
      <c r="O12" s="175" t="s">
        <v>9</v>
      </c>
      <c r="P12" s="175" t="s">
        <v>9</v>
      </c>
      <c r="Q12" s="175" t="s">
        <v>12</v>
      </c>
      <c r="R12" s="175" t="s">
        <v>12</v>
      </c>
      <c r="S12" s="175"/>
      <c r="T12" s="175" t="s">
        <v>12</v>
      </c>
      <c r="U12" s="175" t="s">
        <v>12</v>
      </c>
      <c r="V12" s="175" t="s">
        <v>12</v>
      </c>
      <c r="W12" s="175" t="s">
        <v>12</v>
      </c>
      <c r="X12" s="175" t="s">
        <v>12</v>
      </c>
      <c r="Y12" s="175" t="s">
        <v>12</v>
      </c>
      <c r="Z12" s="175"/>
      <c r="AA12" s="175" t="s">
        <v>12</v>
      </c>
      <c r="AB12" s="175" t="s">
        <v>12</v>
      </c>
      <c r="AC12" s="175" t="s">
        <v>12</v>
      </c>
      <c r="AD12" s="175" t="s">
        <v>12</v>
      </c>
      <c r="AE12" s="175" t="s">
        <v>9</v>
      </c>
      <c r="AF12" s="175" t="s">
        <v>9</v>
      </c>
      <c r="AG12" s="175"/>
      <c r="AH12" s="175" t="s">
        <v>9</v>
      </c>
      <c r="AI12" s="175" t="s">
        <v>10</v>
      </c>
      <c r="AJ12" s="175" t="s">
        <v>9</v>
      </c>
      <c r="AK12" s="175" t="s">
        <v>9</v>
      </c>
      <c r="AL12" s="172">
        <f t="shared" si="0"/>
        <v>12</v>
      </c>
      <c r="AM12" s="172">
        <f t="shared" si="1"/>
        <v>1</v>
      </c>
      <c r="AN12" s="172">
        <f t="shared" si="2"/>
        <v>0</v>
      </c>
      <c r="AO12" s="172">
        <f t="shared" si="3"/>
        <v>12</v>
      </c>
      <c r="AP12" s="172">
        <f t="shared" si="4"/>
        <v>0</v>
      </c>
      <c r="AQ12" s="172">
        <f t="shared" si="5"/>
        <v>0</v>
      </c>
      <c r="AR12" s="172">
        <f t="shared" si="6"/>
        <v>0</v>
      </c>
      <c r="AS12" s="176">
        <f t="shared" si="7"/>
        <v>0</v>
      </c>
      <c r="AT12" s="177"/>
    </row>
    <row r="13" spans="1:52" s="171" customFormat="1" ht="18" customHeight="1">
      <c r="A13" s="175">
        <v>7</v>
      </c>
      <c r="B13" s="173" t="s">
        <v>32</v>
      </c>
      <c r="C13" s="173" t="s">
        <v>33</v>
      </c>
      <c r="D13" s="172" t="s">
        <v>18</v>
      </c>
      <c r="E13" s="174" t="s">
        <v>24</v>
      </c>
      <c r="F13" s="173" t="s">
        <v>182</v>
      </c>
      <c r="G13" s="175"/>
      <c r="H13" s="175" t="s">
        <v>9</v>
      </c>
      <c r="I13" s="175" t="s">
        <v>9</v>
      </c>
      <c r="J13" s="175"/>
      <c r="K13" s="175" t="s">
        <v>9</v>
      </c>
      <c r="L13" s="175"/>
      <c r="M13" s="175" t="s">
        <v>9</v>
      </c>
      <c r="N13" s="175" t="s">
        <v>9</v>
      </c>
      <c r="O13" s="175" t="s">
        <v>9</v>
      </c>
      <c r="P13" s="175" t="s">
        <v>9</v>
      </c>
      <c r="Q13" s="175" t="s">
        <v>9</v>
      </c>
      <c r="R13" s="175" t="s">
        <v>9</v>
      </c>
      <c r="S13" s="175"/>
      <c r="T13" s="175" t="s">
        <v>9</v>
      </c>
      <c r="U13" s="175" t="s">
        <v>9</v>
      </c>
      <c r="V13" s="175" t="s">
        <v>9</v>
      </c>
      <c r="W13" s="175" t="s">
        <v>9</v>
      </c>
      <c r="X13" s="175" t="s">
        <v>9</v>
      </c>
      <c r="Y13" s="175" t="s">
        <v>9</v>
      </c>
      <c r="Z13" s="175"/>
      <c r="AA13" s="175" t="s">
        <v>9</v>
      </c>
      <c r="AB13" s="175" t="s">
        <v>9</v>
      </c>
      <c r="AC13" s="175" t="s">
        <v>9</v>
      </c>
      <c r="AD13" s="175" t="s">
        <v>9</v>
      </c>
      <c r="AE13" s="175" t="s">
        <v>9</v>
      </c>
      <c r="AF13" s="175" t="s">
        <v>9</v>
      </c>
      <c r="AG13" s="175"/>
      <c r="AH13" s="175" t="s">
        <v>9</v>
      </c>
      <c r="AI13" s="175" t="s">
        <v>9</v>
      </c>
      <c r="AJ13" s="175" t="s">
        <v>9</v>
      </c>
      <c r="AK13" s="175" t="s">
        <v>9</v>
      </c>
      <c r="AL13" s="172">
        <f t="shared" si="0"/>
        <v>25</v>
      </c>
      <c r="AM13" s="172">
        <f t="shared" si="1"/>
        <v>0</v>
      </c>
      <c r="AN13" s="172">
        <f t="shared" si="2"/>
        <v>0</v>
      </c>
      <c r="AO13" s="172">
        <f t="shared" si="3"/>
        <v>0</v>
      </c>
      <c r="AP13" s="172">
        <f t="shared" si="4"/>
        <v>0</v>
      </c>
      <c r="AQ13" s="172">
        <f t="shared" si="5"/>
        <v>0</v>
      </c>
      <c r="AR13" s="172">
        <f t="shared" si="6"/>
        <v>0</v>
      </c>
      <c r="AS13" s="176">
        <f t="shared" si="7"/>
        <v>0</v>
      </c>
      <c r="AT13" s="177"/>
    </row>
    <row r="14" spans="1:52" s="209" customFormat="1" ht="18" customHeight="1">
      <c r="A14" s="203">
        <v>8</v>
      </c>
      <c r="B14" s="204" t="s">
        <v>34</v>
      </c>
      <c r="C14" s="204" t="s">
        <v>35</v>
      </c>
      <c r="D14" s="203" t="s">
        <v>18</v>
      </c>
      <c r="E14" s="205" t="s">
        <v>24</v>
      </c>
      <c r="F14" s="204" t="s">
        <v>95</v>
      </c>
      <c r="G14" s="206"/>
      <c r="H14" s="206" t="s">
        <v>10</v>
      </c>
      <c r="I14" s="206" t="s">
        <v>9</v>
      </c>
      <c r="J14" s="206"/>
      <c r="K14" s="206" t="s">
        <v>9</v>
      </c>
      <c r="L14" s="206"/>
      <c r="M14" s="206" t="s">
        <v>9</v>
      </c>
      <c r="N14" s="206" t="s">
        <v>9</v>
      </c>
      <c r="O14" s="206" t="s">
        <v>10</v>
      </c>
      <c r="P14" s="206" t="s">
        <v>10</v>
      </c>
      <c r="Q14" s="206" t="s">
        <v>9</v>
      </c>
      <c r="R14" s="206" t="s">
        <v>9</v>
      </c>
      <c r="S14" s="206"/>
      <c r="T14" s="206" t="s">
        <v>9</v>
      </c>
      <c r="U14" s="206" t="s">
        <v>9</v>
      </c>
      <c r="V14" s="206" t="s">
        <v>9</v>
      </c>
      <c r="W14" s="206" t="s">
        <v>9</v>
      </c>
      <c r="X14" s="206" t="s">
        <v>9</v>
      </c>
      <c r="Y14" s="206" t="s">
        <v>9</v>
      </c>
      <c r="Z14" s="206"/>
      <c r="AA14" s="206" t="s">
        <v>9</v>
      </c>
      <c r="AB14" s="206" t="s">
        <v>10</v>
      </c>
      <c r="AC14" s="206" t="s">
        <v>9</v>
      </c>
      <c r="AD14" s="206" t="s">
        <v>9</v>
      </c>
      <c r="AE14" s="206" t="s">
        <v>9</v>
      </c>
      <c r="AF14" s="206" t="s">
        <v>9</v>
      </c>
      <c r="AG14" s="206"/>
      <c r="AH14" s="206" t="s">
        <v>9</v>
      </c>
      <c r="AI14" s="206" t="s">
        <v>9</v>
      </c>
      <c r="AJ14" s="206" t="s">
        <v>9</v>
      </c>
      <c r="AK14" s="206" t="s">
        <v>9</v>
      </c>
      <c r="AL14" s="203">
        <f t="shared" si="0"/>
        <v>21</v>
      </c>
      <c r="AM14" s="203">
        <f t="shared" si="1"/>
        <v>4</v>
      </c>
      <c r="AN14" s="203">
        <f t="shared" si="2"/>
        <v>0</v>
      </c>
      <c r="AO14" s="203">
        <f t="shared" si="3"/>
        <v>0</v>
      </c>
      <c r="AP14" s="203">
        <f t="shared" si="4"/>
        <v>0</v>
      </c>
      <c r="AQ14" s="203">
        <f t="shared" si="5"/>
        <v>0</v>
      </c>
      <c r="AR14" s="203">
        <f t="shared" si="6"/>
        <v>0</v>
      </c>
      <c r="AS14" s="207">
        <f t="shared" si="7"/>
        <v>0</v>
      </c>
      <c r="AT14" s="208"/>
    </row>
    <row r="15" spans="1:52" s="171" customFormat="1" ht="18" customHeight="1">
      <c r="A15" s="175">
        <v>9</v>
      </c>
      <c r="B15" s="173" t="s">
        <v>39</v>
      </c>
      <c r="C15" s="173" t="s">
        <v>40</v>
      </c>
      <c r="D15" s="172" t="s">
        <v>18</v>
      </c>
      <c r="E15" s="174" t="s">
        <v>24</v>
      </c>
      <c r="F15" s="173" t="s">
        <v>38</v>
      </c>
      <c r="G15" s="175"/>
      <c r="H15" s="175" t="s">
        <v>13</v>
      </c>
      <c r="I15" s="175" t="s">
        <v>9</v>
      </c>
      <c r="J15" s="175"/>
      <c r="K15" s="175" t="s">
        <v>9</v>
      </c>
      <c r="L15" s="175"/>
      <c r="M15" s="175" t="s">
        <v>13</v>
      </c>
      <c r="N15" s="175" t="s">
        <v>9</v>
      </c>
      <c r="O15" s="175" t="s">
        <v>9</v>
      </c>
      <c r="P15" s="175" t="s">
        <v>9</v>
      </c>
      <c r="Q15" s="175" t="s">
        <v>9</v>
      </c>
      <c r="R15" s="175" t="s">
        <v>9</v>
      </c>
      <c r="S15" s="175"/>
      <c r="T15" s="175" t="s">
        <v>9</v>
      </c>
      <c r="U15" s="175" t="s">
        <v>9</v>
      </c>
      <c r="V15" s="175" t="s">
        <v>9</v>
      </c>
      <c r="W15" s="175" t="s">
        <v>9</v>
      </c>
      <c r="X15" s="175" t="s">
        <v>9</v>
      </c>
      <c r="Y15" s="175" t="s">
        <v>9</v>
      </c>
      <c r="Z15" s="175"/>
      <c r="AA15" s="175" t="s">
        <v>9</v>
      </c>
      <c r="AB15" s="175" t="s">
        <v>9</v>
      </c>
      <c r="AC15" s="175" t="s">
        <v>9</v>
      </c>
      <c r="AD15" s="175" t="s">
        <v>9</v>
      </c>
      <c r="AE15" s="175" t="s">
        <v>9</v>
      </c>
      <c r="AF15" s="175" t="s">
        <v>9</v>
      </c>
      <c r="AG15" s="175"/>
      <c r="AH15" s="175" t="s">
        <v>9</v>
      </c>
      <c r="AI15" s="175" t="s">
        <v>9</v>
      </c>
      <c r="AJ15" s="175" t="s">
        <v>9</v>
      </c>
      <c r="AK15" s="175" t="s">
        <v>9</v>
      </c>
      <c r="AL15" s="172">
        <f t="shared" si="0"/>
        <v>23</v>
      </c>
      <c r="AM15" s="172">
        <f t="shared" si="1"/>
        <v>0</v>
      </c>
      <c r="AN15" s="172">
        <f t="shared" si="2"/>
        <v>0</v>
      </c>
      <c r="AO15" s="172">
        <f t="shared" si="3"/>
        <v>0</v>
      </c>
      <c r="AP15" s="172">
        <f t="shared" si="4"/>
        <v>2</v>
      </c>
      <c r="AQ15" s="172">
        <f t="shared" si="5"/>
        <v>0</v>
      </c>
      <c r="AR15" s="172">
        <f t="shared" si="6"/>
        <v>0</v>
      </c>
      <c r="AS15" s="176">
        <f t="shared" si="7"/>
        <v>0</v>
      </c>
      <c r="AT15" s="177"/>
    </row>
    <row r="16" spans="1:52" s="171" customFormat="1" ht="18" customHeight="1">
      <c r="A16" s="172">
        <v>10</v>
      </c>
      <c r="B16" s="173" t="s">
        <v>97</v>
      </c>
      <c r="C16" s="173" t="s">
        <v>37</v>
      </c>
      <c r="D16" s="172" t="s">
        <v>18</v>
      </c>
      <c r="E16" s="174" t="s">
        <v>24</v>
      </c>
      <c r="F16" s="173" t="s">
        <v>161</v>
      </c>
      <c r="G16" s="175"/>
      <c r="H16" s="175" t="s">
        <v>9</v>
      </c>
      <c r="I16" s="175" t="s">
        <v>9</v>
      </c>
      <c r="J16" s="175"/>
      <c r="K16" s="175" t="s">
        <v>9</v>
      </c>
      <c r="L16" s="175"/>
      <c r="M16" s="175" t="s">
        <v>9</v>
      </c>
      <c r="N16" s="175" t="s">
        <v>9</v>
      </c>
      <c r="O16" s="175" t="s">
        <v>9</v>
      </c>
      <c r="P16" s="175" t="s">
        <v>9</v>
      </c>
      <c r="Q16" s="175" t="s">
        <v>9</v>
      </c>
      <c r="R16" s="175" t="s">
        <v>9</v>
      </c>
      <c r="S16" s="175"/>
      <c r="T16" s="175" t="s">
        <v>9</v>
      </c>
      <c r="U16" s="175" t="s">
        <v>9</v>
      </c>
      <c r="V16" s="175" t="s">
        <v>9</v>
      </c>
      <c r="W16" s="175" t="s">
        <v>9</v>
      </c>
      <c r="X16" s="175" t="s">
        <v>9</v>
      </c>
      <c r="Y16" s="175" t="s">
        <v>9</v>
      </c>
      <c r="Z16" s="175"/>
      <c r="AA16" s="175" t="s">
        <v>9</v>
      </c>
      <c r="AB16" s="175" t="s">
        <v>9</v>
      </c>
      <c r="AC16" s="175" t="s">
        <v>9</v>
      </c>
      <c r="AD16" s="175" t="s">
        <v>9</v>
      </c>
      <c r="AE16" s="175" t="s">
        <v>9</v>
      </c>
      <c r="AF16" s="175" t="s">
        <v>9</v>
      </c>
      <c r="AG16" s="175"/>
      <c r="AH16" s="175" t="s">
        <v>9</v>
      </c>
      <c r="AI16" s="175" t="s">
        <v>9</v>
      </c>
      <c r="AJ16" s="175" t="s">
        <v>9</v>
      </c>
      <c r="AK16" s="175" t="s">
        <v>9</v>
      </c>
      <c r="AL16" s="172">
        <f t="shared" si="0"/>
        <v>25</v>
      </c>
      <c r="AM16" s="172">
        <f t="shared" si="1"/>
        <v>0</v>
      </c>
      <c r="AN16" s="172">
        <f t="shared" si="2"/>
        <v>0</v>
      </c>
      <c r="AO16" s="172">
        <f t="shared" si="3"/>
        <v>0</v>
      </c>
      <c r="AP16" s="172">
        <f t="shared" si="4"/>
        <v>0</v>
      </c>
      <c r="AQ16" s="172">
        <f t="shared" si="5"/>
        <v>0</v>
      </c>
      <c r="AR16" s="172">
        <f t="shared" si="6"/>
        <v>0</v>
      </c>
      <c r="AS16" s="176">
        <f t="shared" si="7"/>
        <v>0</v>
      </c>
      <c r="AT16" s="177"/>
    </row>
    <row r="17" spans="1:46" s="171" customFormat="1" ht="18" customHeight="1">
      <c r="A17" s="175">
        <v>11</v>
      </c>
      <c r="B17" s="173" t="s">
        <v>41</v>
      </c>
      <c r="C17" s="173" t="s">
        <v>42</v>
      </c>
      <c r="D17" s="172" t="s">
        <v>18</v>
      </c>
      <c r="E17" s="174" t="s">
        <v>24</v>
      </c>
      <c r="F17" s="173" t="s">
        <v>38</v>
      </c>
      <c r="G17" s="175"/>
      <c r="H17" s="175" t="s">
        <v>13</v>
      </c>
      <c r="I17" s="175" t="s">
        <v>13</v>
      </c>
      <c r="J17" s="175"/>
      <c r="K17" s="175" t="s">
        <v>9</v>
      </c>
      <c r="L17" s="175"/>
      <c r="M17" s="175" t="s">
        <v>9</v>
      </c>
      <c r="N17" s="175" t="s">
        <v>9</v>
      </c>
      <c r="O17" s="175" t="s">
        <v>9</v>
      </c>
      <c r="P17" s="175" t="s">
        <v>9</v>
      </c>
      <c r="Q17" s="175" t="s">
        <v>9</v>
      </c>
      <c r="R17" s="175" t="s">
        <v>9</v>
      </c>
      <c r="S17" s="175"/>
      <c r="T17" s="175" t="s">
        <v>9</v>
      </c>
      <c r="U17" s="175" t="s">
        <v>9</v>
      </c>
      <c r="V17" s="175" t="s">
        <v>9</v>
      </c>
      <c r="W17" s="175" t="s">
        <v>13</v>
      </c>
      <c r="X17" s="175" t="s">
        <v>11</v>
      </c>
      <c r="Y17" s="175" t="s">
        <v>9</v>
      </c>
      <c r="Z17" s="175"/>
      <c r="AA17" s="175" t="s">
        <v>9</v>
      </c>
      <c r="AB17" s="175" t="s">
        <v>9</v>
      </c>
      <c r="AC17" s="175" t="s">
        <v>9</v>
      </c>
      <c r="AD17" s="175" t="s">
        <v>9</v>
      </c>
      <c r="AE17" s="175" t="s">
        <v>9</v>
      </c>
      <c r="AF17" s="175" t="s">
        <v>9</v>
      </c>
      <c r="AG17" s="175"/>
      <c r="AH17" s="175" t="s">
        <v>9</v>
      </c>
      <c r="AI17" s="175" t="s">
        <v>9</v>
      </c>
      <c r="AJ17" s="175" t="s">
        <v>9</v>
      </c>
      <c r="AK17" s="175" t="s">
        <v>9</v>
      </c>
      <c r="AL17" s="172">
        <f t="shared" si="0"/>
        <v>21</v>
      </c>
      <c r="AM17" s="172">
        <f t="shared" si="1"/>
        <v>0</v>
      </c>
      <c r="AN17" s="172">
        <f t="shared" si="2"/>
        <v>1</v>
      </c>
      <c r="AO17" s="172">
        <f t="shared" si="3"/>
        <v>0</v>
      </c>
      <c r="AP17" s="172">
        <f t="shared" si="4"/>
        <v>3</v>
      </c>
      <c r="AQ17" s="172">
        <f t="shared" si="5"/>
        <v>0</v>
      </c>
      <c r="AR17" s="172">
        <f t="shared" si="6"/>
        <v>0</v>
      </c>
      <c r="AS17" s="176">
        <f t="shared" si="7"/>
        <v>0</v>
      </c>
      <c r="AT17" s="177"/>
    </row>
    <row r="18" spans="1:46" s="171" customFormat="1" ht="18" customHeight="1">
      <c r="A18" s="172">
        <v>12</v>
      </c>
      <c r="B18" s="173" t="s">
        <v>43</v>
      </c>
      <c r="C18" s="173" t="s">
        <v>44</v>
      </c>
      <c r="D18" s="172" t="s">
        <v>18</v>
      </c>
      <c r="E18" s="174" t="s">
        <v>24</v>
      </c>
      <c r="F18" s="173" t="s">
        <v>38</v>
      </c>
      <c r="G18" s="175"/>
      <c r="H18" s="175" t="s">
        <v>9</v>
      </c>
      <c r="I18" s="175" t="s">
        <v>9</v>
      </c>
      <c r="J18" s="175"/>
      <c r="K18" s="175" t="s">
        <v>9</v>
      </c>
      <c r="L18" s="175"/>
      <c r="M18" s="175" t="s">
        <v>9</v>
      </c>
      <c r="N18" s="175" t="s">
        <v>9</v>
      </c>
      <c r="O18" s="175" t="s">
        <v>9</v>
      </c>
      <c r="P18" s="175" t="s">
        <v>9</v>
      </c>
      <c r="Q18" s="175" t="s">
        <v>13</v>
      </c>
      <c r="R18" s="175" t="s">
        <v>9</v>
      </c>
      <c r="S18" s="175"/>
      <c r="T18" s="175" t="s">
        <v>9</v>
      </c>
      <c r="U18" s="175" t="s">
        <v>9</v>
      </c>
      <c r="V18" s="175" t="s">
        <v>9</v>
      </c>
      <c r="W18" s="175" t="s">
        <v>9</v>
      </c>
      <c r="X18" s="175" t="s">
        <v>9</v>
      </c>
      <c r="Y18" s="175" t="s">
        <v>9</v>
      </c>
      <c r="Z18" s="175"/>
      <c r="AA18" s="175" t="s">
        <v>9</v>
      </c>
      <c r="AB18" s="175" t="s">
        <v>9</v>
      </c>
      <c r="AC18" s="175" t="s">
        <v>9</v>
      </c>
      <c r="AD18" s="175" t="s">
        <v>9</v>
      </c>
      <c r="AE18" s="175" t="s">
        <v>9</v>
      </c>
      <c r="AF18" s="175" t="s">
        <v>9</v>
      </c>
      <c r="AG18" s="175"/>
      <c r="AH18" s="175" t="s">
        <v>9</v>
      </c>
      <c r="AI18" s="175" t="s">
        <v>9</v>
      </c>
      <c r="AJ18" s="175" t="s">
        <v>9</v>
      </c>
      <c r="AK18" s="175" t="s">
        <v>9</v>
      </c>
      <c r="AL18" s="172">
        <f t="shared" si="0"/>
        <v>24</v>
      </c>
      <c r="AM18" s="172">
        <f t="shared" si="1"/>
        <v>0</v>
      </c>
      <c r="AN18" s="172">
        <f t="shared" si="2"/>
        <v>0</v>
      </c>
      <c r="AO18" s="172">
        <f t="shared" si="3"/>
        <v>0</v>
      </c>
      <c r="AP18" s="172">
        <f t="shared" si="4"/>
        <v>1</v>
      </c>
      <c r="AQ18" s="172">
        <f t="shared" si="5"/>
        <v>0</v>
      </c>
      <c r="AR18" s="172">
        <f t="shared" si="6"/>
        <v>0</v>
      </c>
      <c r="AS18" s="176">
        <f t="shared" si="7"/>
        <v>0</v>
      </c>
      <c r="AT18" s="177"/>
    </row>
    <row r="19" spans="1:46" s="171" customFormat="1" ht="18" customHeight="1">
      <c r="A19" s="175">
        <v>13</v>
      </c>
      <c r="B19" s="173" t="s">
        <v>45</v>
      </c>
      <c r="C19" s="173" t="s">
        <v>46</v>
      </c>
      <c r="D19" s="172" t="s">
        <v>18</v>
      </c>
      <c r="E19" s="174" t="s">
        <v>24</v>
      </c>
      <c r="F19" s="173" t="s">
        <v>38</v>
      </c>
      <c r="G19" s="175"/>
      <c r="H19" s="175" t="s">
        <v>9</v>
      </c>
      <c r="I19" s="175" t="s">
        <v>9</v>
      </c>
      <c r="J19" s="175"/>
      <c r="K19" s="175" t="s">
        <v>9</v>
      </c>
      <c r="L19" s="175"/>
      <c r="M19" s="175" t="s">
        <v>9</v>
      </c>
      <c r="N19" s="175" t="s">
        <v>9</v>
      </c>
      <c r="O19" s="175" t="s">
        <v>9</v>
      </c>
      <c r="P19" s="175" t="s">
        <v>9</v>
      </c>
      <c r="Q19" s="175" t="s">
        <v>9</v>
      </c>
      <c r="R19" s="175" t="s">
        <v>9</v>
      </c>
      <c r="S19" s="175"/>
      <c r="T19" s="175" t="s">
        <v>9</v>
      </c>
      <c r="U19" s="175" t="s">
        <v>9</v>
      </c>
      <c r="V19" s="175" t="s">
        <v>9</v>
      </c>
      <c r="W19" s="175" t="s">
        <v>9</v>
      </c>
      <c r="X19" s="175" t="s">
        <v>9</v>
      </c>
      <c r="Y19" s="175" t="s">
        <v>9</v>
      </c>
      <c r="Z19" s="175"/>
      <c r="AA19" s="175" t="s">
        <v>9</v>
      </c>
      <c r="AB19" s="175" t="s">
        <v>9</v>
      </c>
      <c r="AC19" s="175" t="s">
        <v>9</v>
      </c>
      <c r="AD19" s="175" t="s">
        <v>9</v>
      </c>
      <c r="AE19" s="175" t="s">
        <v>9</v>
      </c>
      <c r="AF19" s="175" t="s">
        <v>10</v>
      </c>
      <c r="AG19" s="175"/>
      <c r="AH19" s="175" t="s">
        <v>9</v>
      </c>
      <c r="AI19" s="175" t="s">
        <v>9</v>
      </c>
      <c r="AJ19" s="175" t="s">
        <v>9</v>
      </c>
      <c r="AK19" s="175" t="s">
        <v>9</v>
      </c>
      <c r="AL19" s="172">
        <f t="shared" si="0"/>
        <v>24</v>
      </c>
      <c r="AM19" s="172">
        <f t="shared" si="1"/>
        <v>1</v>
      </c>
      <c r="AN19" s="172">
        <f t="shared" si="2"/>
        <v>0</v>
      </c>
      <c r="AO19" s="172">
        <f t="shared" si="3"/>
        <v>0</v>
      </c>
      <c r="AP19" s="172">
        <f t="shared" si="4"/>
        <v>0</v>
      </c>
      <c r="AQ19" s="172">
        <f t="shared" si="5"/>
        <v>0</v>
      </c>
      <c r="AR19" s="172">
        <f t="shared" si="6"/>
        <v>0</v>
      </c>
      <c r="AS19" s="176">
        <f t="shared" si="7"/>
        <v>0</v>
      </c>
      <c r="AT19" s="177"/>
    </row>
    <row r="20" spans="1:46" s="171" customFormat="1" ht="18" customHeight="1">
      <c r="A20" s="172">
        <v>14</v>
      </c>
      <c r="B20" s="173" t="s">
        <v>49</v>
      </c>
      <c r="C20" s="173" t="s">
        <v>176</v>
      </c>
      <c r="D20" s="172" t="s">
        <v>18</v>
      </c>
      <c r="E20" s="174" t="s">
        <v>24</v>
      </c>
      <c r="F20" s="173" t="s">
        <v>50</v>
      </c>
      <c r="G20" s="175"/>
      <c r="H20" s="175" t="s">
        <v>9</v>
      </c>
      <c r="I20" s="175" t="s">
        <v>9</v>
      </c>
      <c r="J20" s="175"/>
      <c r="K20" s="175" t="s">
        <v>9</v>
      </c>
      <c r="L20" s="175"/>
      <c r="M20" s="175" t="s">
        <v>13</v>
      </c>
      <c r="N20" s="175" t="s">
        <v>9</v>
      </c>
      <c r="O20" s="175" t="s">
        <v>9</v>
      </c>
      <c r="P20" s="175" t="s">
        <v>9</v>
      </c>
      <c r="Q20" s="175" t="s">
        <v>9</v>
      </c>
      <c r="R20" s="175" t="s">
        <v>9</v>
      </c>
      <c r="S20" s="175"/>
      <c r="T20" s="175" t="s">
        <v>9</v>
      </c>
      <c r="U20" s="175" t="s">
        <v>9</v>
      </c>
      <c r="V20" s="175" t="s">
        <v>9</v>
      </c>
      <c r="W20" s="175" t="s">
        <v>9</v>
      </c>
      <c r="X20" s="175" t="s">
        <v>9</v>
      </c>
      <c r="Y20" s="175" t="s">
        <v>9</v>
      </c>
      <c r="Z20" s="175"/>
      <c r="AA20" s="175" t="s">
        <v>9</v>
      </c>
      <c r="AB20" s="175" t="s">
        <v>9</v>
      </c>
      <c r="AC20" s="175" t="s">
        <v>9</v>
      </c>
      <c r="AD20" s="175" t="s">
        <v>9</v>
      </c>
      <c r="AE20" s="175" t="s">
        <v>9</v>
      </c>
      <c r="AF20" s="175" t="s">
        <v>9</v>
      </c>
      <c r="AG20" s="175"/>
      <c r="AH20" s="175" t="s">
        <v>9</v>
      </c>
      <c r="AI20" s="175" t="s">
        <v>9</v>
      </c>
      <c r="AJ20" s="175" t="s">
        <v>9</v>
      </c>
      <c r="AK20" s="175" t="s">
        <v>9</v>
      </c>
      <c r="AL20" s="172">
        <f t="shared" si="0"/>
        <v>24</v>
      </c>
      <c r="AM20" s="172">
        <f t="shared" si="1"/>
        <v>0</v>
      </c>
      <c r="AN20" s="172">
        <f t="shared" si="2"/>
        <v>0</v>
      </c>
      <c r="AO20" s="172">
        <f t="shared" si="3"/>
        <v>0</v>
      </c>
      <c r="AP20" s="172">
        <f t="shared" si="4"/>
        <v>1</v>
      </c>
      <c r="AQ20" s="172">
        <f t="shared" si="5"/>
        <v>0</v>
      </c>
      <c r="AR20" s="172">
        <f t="shared" si="6"/>
        <v>0</v>
      </c>
      <c r="AS20" s="176">
        <f t="shared" si="7"/>
        <v>0</v>
      </c>
      <c r="AT20" s="177"/>
    </row>
    <row r="21" spans="1:46" s="171" customFormat="1" ht="18" customHeight="1">
      <c r="A21" s="175">
        <v>15</v>
      </c>
      <c r="B21" s="173" t="s">
        <v>47</v>
      </c>
      <c r="C21" s="173" t="s">
        <v>48</v>
      </c>
      <c r="D21" s="172" t="s">
        <v>18</v>
      </c>
      <c r="E21" s="174" t="s">
        <v>24</v>
      </c>
      <c r="F21" s="173" t="s">
        <v>182</v>
      </c>
      <c r="G21" s="175"/>
      <c r="H21" s="175" t="s">
        <v>9</v>
      </c>
      <c r="I21" s="175" t="s">
        <v>9</v>
      </c>
      <c r="J21" s="175"/>
      <c r="K21" s="175" t="s">
        <v>9</v>
      </c>
      <c r="L21" s="175"/>
      <c r="M21" s="175" t="s">
        <v>13</v>
      </c>
      <c r="N21" s="175" t="s">
        <v>9</v>
      </c>
      <c r="O21" s="175" t="s">
        <v>9</v>
      </c>
      <c r="P21" s="175" t="s">
        <v>9</v>
      </c>
      <c r="Q21" s="175" t="s">
        <v>9</v>
      </c>
      <c r="R21" s="175" t="s">
        <v>9</v>
      </c>
      <c r="S21" s="175"/>
      <c r="T21" s="175" t="s">
        <v>9</v>
      </c>
      <c r="U21" s="175" t="s">
        <v>9</v>
      </c>
      <c r="V21" s="175" t="s">
        <v>9</v>
      </c>
      <c r="W21" s="175" t="s">
        <v>9</v>
      </c>
      <c r="X21" s="175" t="s">
        <v>9</v>
      </c>
      <c r="Y21" s="175" t="s">
        <v>9</v>
      </c>
      <c r="Z21" s="175"/>
      <c r="AA21" s="175" t="s">
        <v>9</v>
      </c>
      <c r="AB21" s="175" t="s">
        <v>9</v>
      </c>
      <c r="AC21" s="175" t="s">
        <v>9</v>
      </c>
      <c r="AD21" s="175" t="s">
        <v>9</v>
      </c>
      <c r="AE21" s="175" t="s">
        <v>9</v>
      </c>
      <c r="AF21" s="175" t="s">
        <v>10</v>
      </c>
      <c r="AG21" s="175"/>
      <c r="AH21" s="175" t="s">
        <v>9</v>
      </c>
      <c r="AI21" s="175" t="s">
        <v>9</v>
      </c>
      <c r="AJ21" s="175" t="s">
        <v>9</v>
      </c>
      <c r="AK21" s="175" t="s">
        <v>9</v>
      </c>
      <c r="AL21" s="172">
        <f t="shared" si="0"/>
        <v>23</v>
      </c>
      <c r="AM21" s="172">
        <f t="shared" si="1"/>
        <v>1</v>
      </c>
      <c r="AN21" s="172">
        <f t="shared" si="2"/>
        <v>0</v>
      </c>
      <c r="AO21" s="172">
        <f t="shared" si="3"/>
        <v>0</v>
      </c>
      <c r="AP21" s="172">
        <f t="shared" si="4"/>
        <v>1</v>
      </c>
      <c r="AQ21" s="172">
        <f t="shared" si="5"/>
        <v>0</v>
      </c>
      <c r="AR21" s="172">
        <f t="shared" si="6"/>
        <v>0</v>
      </c>
      <c r="AS21" s="176">
        <f t="shared" si="7"/>
        <v>0</v>
      </c>
      <c r="AT21" s="177"/>
    </row>
    <row r="22" spans="1:46" s="171" customFormat="1" ht="18" customHeight="1">
      <c r="A22" s="172">
        <v>16</v>
      </c>
      <c r="B22" s="173" t="s">
        <v>169</v>
      </c>
      <c r="C22" s="173" t="s">
        <v>51</v>
      </c>
      <c r="D22" s="172" t="s">
        <v>18</v>
      </c>
      <c r="E22" s="174" t="s">
        <v>24</v>
      </c>
      <c r="F22" s="173" t="s">
        <v>50</v>
      </c>
      <c r="G22" s="175"/>
      <c r="H22" s="175" t="s">
        <v>9</v>
      </c>
      <c r="I22" s="175" t="s">
        <v>9</v>
      </c>
      <c r="J22" s="175"/>
      <c r="K22" s="175" t="s">
        <v>9</v>
      </c>
      <c r="L22" s="175"/>
      <c r="M22" s="175" t="s">
        <v>9</v>
      </c>
      <c r="N22" s="175" t="s">
        <v>9</v>
      </c>
      <c r="O22" s="175" t="s">
        <v>9</v>
      </c>
      <c r="P22" s="175" t="s">
        <v>9</v>
      </c>
      <c r="Q22" s="175" t="s">
        <v>9</v>
      </c>
      <c r="R22" s="175" t="s">
        <v>9</v>
      </c>
      <c r="S22" s="175"/>
      <c r="T22" s="175" t="s">
        <v>9</v>
      </c>
      <c r="U22" s="175" t="s">
        <v>9</v>
      </c>
      <c r="V22" s="175" t="s">
        <v>9</v>
      </c>
      <c r="W22" s="175" t="s">
        <v>9</v>
      </c>
      <c r="X22" s="175" t="s">
        <v>9</v>
      </c>
      <c r="Y22" s="175" t="s">
        <v>9</v>
      </c>
      <c r="Z22" s="175"/>
      <c r="AA22" s="175" t="s">
        <v>9</v>
      </c>
      <c r="AB22" s="175" t="s">
        <v>10</v>
      </c>
      <c r="AC22" s="175" t="s">
        <v>9</v>
      </c>
      <c r="AD22" s="175" t="s">
        <v>9</v>
      </c>
      <c r="AE22" s="175" t="s">
        <v>9</v>
      </c>
      <c r="AF22" s="175" t="s">
        <v>9</v>
      </c>
      <c r="AG22" s="175"/>
      <c r="AH22" s="175" t="s">
        <v>9</v>
      </c>
      <c r="AI22" s="175" t="s">
        <v>9</v>
      </c>
      <c r="AJ22" s="175" t="s">
        <v>9</v>
      </c>
      <c r="AK22" s="175" t="s">
        <v>9</v>
      </c>
      <c r="AL22" s="172">
        <f t="shared" si="0"/>
        <v>24</v>
      </c>
      <c r="AM22" s="172">
        <f t="shared" si="1"/>
        <v>1</v>
      </c>
      <c r="AN22" s="172">
        <f t="shared" si="2"/>
        <v>0</v>
      </c>
      <c r="AO22" s="172">
        <f t="shared" si="3"/>
        <v>0</v>
      </c>
      <c r="AP22" s="172">
        <f t="shared" si="4"/>
        <v>0</v>
      </c>
      <c r="AQ22" s="172">
        <f t="shared" si="5"/>
        <v>0</v>
      </c>
      <c r="AR22" s="172">
        <f t="shared" si="6"/>
        <v>0</v>
      </c>
      <c r="AS22" s="176">
        <f t="shared" si="7"/>
        <v>0</v>
      </c>
      <c r="AT22" s="177"/>
    </row>
    <row r="23" spans="1:46" s="171" customFormat="1" ht="18" customHeight="1">
      <c r="A23" s="175">
        <v>17</v>
      </c>
      <c r="B23" s="173" t="s">
        <v>92</v>
      </c>
      <c r="C23" s="173" t="s">
        <v>59</v>
      </c>
      <c r="D23" s="172" t="s">
        <v>36</v>
      </c>
      <c r="E23" s="174" t="s">
        <v>24</v>
      </c>
      <c r="F23" s="173" t="s">
        <v>183</v>
      </c>
      <c r="G23" s="175"/>
      <c r="H23" s="175" t="s">
        <v>9</v>
      </c>
      <c r="I23" s="175" t="s">
        <v>9</v>
      </c>
      <c r="J23" s="175"/>
      <c r="K23" s="175" t="s">
        <v>9</v>
      </c>
      <c r="L23" s="175"/>
      <c r="M23" s="175" t="s">
        <v>10</v>
      </c>
      <c r="N23" s="175" t="s">
        <v>9</v>
      </c>
      <c r="O23" s="175" t="s">
        <v>9</v>
      </c>
      <c r="P23" s="175" t="s">
        <v>9</v>
      </c>
      <c r="Q23" s="175" t="s">
        <v>9</v>
      </c>
      <c r="R23" s="175" t="s">
        <v>9</v>
      </c>
      <c r="S23" s="175"/>
      <c r="T23" s="175" t="s">
        <v>9</v>
      </c>
      <c r="U23" s="175" t="s">
        <v>9</v>
      </c>
      <c r="V23" s="175" t="s">
        <v>9</v>
      </c>
      <c r="W23" s="175" t="s">
        <v>9</v>
      </c>
      <c r="X23" s="175" t="s">
        <v>9</v>
      </c>
      <c r="Y23" s="175" t="s">
        <v>9</v>
      </c>
      <c r="Z23" s="175"/>
      <c r="AA23" s="175" t="s">
        <v>9</v>
      </c>
      <c r="AB23" s="175" t="s">
        <v>9</v>
      </c>
      <c r="AC23" s="175" t="s">
        <v>9</v>
      </c>
      <c r="AD23" s="175" t="s">
        <v>13</v>
      </c>
      <c r="AE23" s="175" t="s">
        <v>9</v>
      </c>
      <c r="AF23" s="175" t="s">
        <v>9</v>
      </c>
      <c r="AG23" s="175"/>
      <c r="AH23" s="175" t="s">
        <v>9</v>
      </c>
      <c r="AI23" s="175" t="s">
        <v>9</v>
      </c>
      <c r="AJ23" s="175" t="s">
        <v>9</v>
      </c>
      <c r="AK23" s="175" t="s">
        <v>9</v>
      </c>
      <c r="AL23" s="172">
        <f t="shared" si="0"/>
        <v>23</v>
      </c>
      <c r="AM23" s="172">
        <f t="shared" si="1"/>
        <v>1</v>
      </c>
      <c r="AN23" s="172">
        <f t="shared" si="2"/>
        <v>0</v>
      </c>
      <c r="AO23" s="172">
        <f t="shared" si="3"/>
        <v>0</v>
      </c>
      <c r="AP23" s="172">
        <f t="shared" si="4"/>
        <v>1</v>
      </c>
      <c r="AQ23" s="172">
        <f t="shared" si="5"/>
        <v>0</v>
      </c>
      <c r="AR23" s="172">
        <f t="shared" si="6"/>
        <v>0</v>
      </c>
      <c r="AS23" s="176">
        <f t="shared" si="7"/>
        <v>0</v>
      </c>
      <c r="AT23" s="177"/>
    </row>
    <row r="24" spans="1:46" s="171" customFormat="1" ht="18" customHeight="1">
      <c r="A24" s="172">
        <v>18</v>
      </c>
      <c r="B24" s="173" t="s">
        <v>168</v>
      </c>
      <c r="C24" s="173" t="s">
        <v>58</v>
      </c>
      <c r="D24" s="172" t="s">
        <v>36</v>
      </c>
      <c r="E24" s="174" t="s">
        <v>24</v>
      </c>
      <c r="F24" s="210" t="s">
        <v>99</v>
      </c>
      <c r="G24" s="175"/>
      <c r="H24" s="175" t="s">
        <v>9</v>
      </c>
      <c r="I24" s="175" t="s">
        <v>9</v>
      </c>
      <c r="J24" s="175"/>
      <c r="K24" s="175" t="s">
        <v>9</v>
      </c>
      <c r="L24" s="175"/>
      <c r="M24" s="175" t="s">
        <v>9</v>
      </c>
      <c r="N24" s="175" t="s">
        <v>9</v>
      </c>
      <c r="O24" s="175" t="s">
        <v>9</v>
      </c>
      <c r="P24" s="175" t="s">
        <v>9</v>
      </c>
      <c r="Q24" s="175" t="s">
        <v>9</v>
      </c>
      <c r="R24" s="175" t="s">
        <v>9</v>
      </c>
      <c r="S24" s="175"/>
      <c r="T24" s="175" t="s">
        <v>9</v>
      </c>
      <c r="U24" s="175" t="s">
        <v>9</v>
      </c>
      <c r="V24" s="175" t="s">
        <v>9</v>
      </c>
      <c r="W24" s="175" t="s">
        <v>9</v>
      </c>
      <c r="X24" s="175" t="s">
        <v>10</v>
      </c>
      <c r="Y24" s="175" t="s">
        <v>9</v>
      </c>
      <c r="Z24" s="175"/>
      <c r="AA24" s="175" t="s">
        <v>9</v>
      </c>
      <c r="AB24" s="175" t="s">
        <v>9</v>
      </c>
      <c r="AC24" s="175" t="s">
        <v>9</v>
      </c>
      <c r="AD24" s="175" t="s">
        <v>9</v>
      </c>
      <c r="AE24" s="175" t="s">
        <v>9</v>
      </c>
      <c r="AF24" s="175" t="s">
        <v>9</v>
      </c>
      <c r="AG24" s="175"/>
      <c r="AH24" s="175" t="s">
        <v>9</v>
      </c>
      <c r="AI24" s="175" t="s">
        <v>9</v>
      </c>
      <c r="AJ24" s="175" t="s">
        <v>9</v>
      </c>
      <c r="AK24" s="175" t="s">
        <v>9</v>
      </c>
      <c r="AL24" s="172">
        <f t="shared" si="0"/>
        <v>24</v>
      </c>
      <c r="AM24" s="172">
        <f t="shared" si="1"/>
        <v>1</v>
      </c>
      <c r="AN24" s="172">
        <f t="shared" si="2"/>
        <v>0</v>
      </c>
      <c r="AO24" s="172">
        <f t="shared" si="3"/>
        <v>0</v>
      </c>
      <c r="AP24" s="172">
        <f t="shared" si="4"/>
        <v>0</v>
      </c>
      <c r="AQ24" s="172">
        <f t="shared" si="5"/>
        <v>0</v>
      </c>
      <c r="AR24" s="172">
        <f t="shared" si="6"/>
        <v>0</v>
      </c>
      <c r="AS24" s="176">
        <f t="shared" si="7"/>
        <v>0</v>
      </c>
      <c r="AT24" s="177"/>
    </row>
    <row r="25" spans="1:46" s="171" customFormat="1" ht="18" customHeight="1">
      <c r="A25" s="175">
        <v>19</v>
      </c>
      <c r="B25" s="173" t="s">
        <v>55</v>
      </c>
      <c r="C25" s="173" t="s">
        <v>56</v>
      </c>
      <c r="D25" s="172" t="s">
        <v>36</v>
      </c>
      <c r="E25" s="174" t="s">
        <v>24</v>
      </c>
      <c r="F25" s="173" t="s">
        <v>57</v>
      </c>
      <c r="G25" s="211"/>
      <c r="H25" s="175" t="s">
        <v>9</v>
      </c>
      <c r="I25" s="175" t="s">
        <v>9</v>
      </c>
      <c r="J25" s="175"/>
      <c r="K25" s="175" t="s">
        <v>9</v>
      </c>
      <c r="L25" s="175"/>
      <c r="M25" s="175" t="s">
        <v>9</v>
      </c>
      <c r="N25" s="175" t="s">
        <v>9</v>
      </c>
      <c r="O25" s="175" t="s">
        <v>9</v>
      </c>
      <c r="P25" s="175" t="s">
        <v>9</v>
      </c>
      <c r="Q25" s="175" t="s">
        <v>9</v>
      </c>
      <c r="R25" s="175" t="s">
        <v>9</v>
      </c>
      <c r="S25" s="175"/>
      <c r="T25" s="175" t="s">
        <v>9</v>
      </c>
      <c r="U25" s="175" t="s">
        <v>11</v>
      </c>
      <c r="V25" s="175" t="s">
        <v>9</v>
      </c>
      <c r="W25" s="175" t="s">
        <v>9</v>
      </c>
      <c r="X25" s="175" t="s">
        <v>9</v>
      </c>
      <c r="Y25" s="175" t="s">
        <v>9</v>
      </c>
      <c r="Z25" s="175"/>
      <c r="AA25" s="175" t="s">
        <v>9</v>
      </c>
      <c r="AB25" s="175" t="s">
        <v>9</v>
      </c>
      <c r="AC25" s="175" t="s">
        <v>9</v>
      </c>
      <c r="AD25" s="175" t="s">
        <v>9</v>
      </c>
      <c r="AE25" s="175" t="s">
        <v>9</v>
      </c>
      <c r="AF25" s="175" t="s">
        <v>9</v>
      </c>
      <c r="AG25" s="175"/>
      <c r="AH25" s="175" t="s">
        <v>9</v>
      </c>
      <c r="AI25" s="175" t="s">
        <v>9</v>
      </c>
      <c r="AJ25" s="175" t="s">
        <v>9</v>
      </c>
      <c r="AK25" s="175" t="s">
        <v>9</v>
      </c>
      <c r="AL25" s="172">
        <f t="shared" si="0"/>
        <v>24</v>
      </c>
      <c r="AM25" s="172">
        <f t="shared" si="1"/>
        <v>0</v>
      </c>
      <c r="AN25" s="172">
        <f t="shared" si="2"/>
        <v>1</v>
      </c>
      <c r="AO25" s="172">
        <f t="shared" si="3"/>
        <v>0</v>
      </c>
      <c r="AP25" s="172">
        <f t="shared" si="4"/>
        <v>0</v>
      </c>
      <c r="AQ25" s="172">
        <f t="shared" si="5"/>
        <v>0</v>
      </c>
      <c r="AR25" s="172">
        <f t="shared" si="6"/>
        <v>0</v>
      </c>
      <c r="AS25" s="176">
        <f t="shared" si="7"/>
        <v>0</v>
      </c>
      <c r="AT25" s="177"/>
    </row>
    <row r="26" spans="1:46" s="171" customFormat="1" ht="18" customHeight="1">
      <c r="A26" s="172">
        <v>20</v>
      </c>
      <c r="B26" s="173" t="s">
        <v>98</v>
      </c>
      <c r="C26" s="173" t="s">
        <v>65</v>
      </c>
      <c r="D26" s="172" t="s">
        <v>36</v>
      </c>
      <c r="E26" s="174" t="s">
        <v>24</v>
      </c>
      <c r="F26" s="173" t="s">
        <v>161</v>
      </c>
      <c r="G26" s="175"/>
      <c r="H26" s="175" t="s">
        <v>9</v>
      </c>
      <c r="I26" s="175" t="s">
        <v>9</v>
      </c>
      <c r="J26" s="175"/>
      <c r="K26" s="175" t="s">
        <v>9</v>
      </c>
      <c r="L26" s="175"/>
      <c r="M26" s="175" t="s">
        <v>9</v>
      </c>
      <c r="N26" s="175" t="s">
        <v>9</v>
      </c>
      <c r="O26" s="175" t="s">
        <v>9</v>
      </c>
      <c r="P26" s="175" t="s">
        <v>9</v>
      </c>
      <c r="Q26" s="175" t="s">
        <v>9</v>
      </c>
      <c r="R26" s="175" t="s">
        <v>9</v>
      </c>
      <c r="S26" s="175"/>
      <c r="T26" s="175" t="s">
        <v>9</v>
      </c>
      <c r="U26" s="175" t="s">
        <v>9</v>
      </c>
      <c r="V26" s="175" t="s">
        <v>9</v>
      </c>
      <c r="W26" s="175" t="s">
        <v>9</v>
      </c>
      <c r="X26" s="175" t="s">
        <v>9</v>
      </c>
      <c r="Y26" s="175" t="s">
        <v>9</v>
      </c>
      <c r="Z26" s="175"/>
      <c r="AA26" s="175" t="s">
        <v>9</v>
      </c>
      <c r="AB26" s="175" t="s">
        <v>9</v>
      </c>
      <c r="AC26" s="175" t="s">
        <v>9</v>
      </c>
      <c r="AD26" s="175" t="s">
        <v>9</v>
      </c>
      <c r="AE26" s="175" t="s">
        <v>9</v>
      </c>
      <c r="AF26" s="175" t="s">
        <v>9</v>
      </c>
      <c r="AG26" s="175"/>
      <c r="AH26" s="175" t="s">
        <v>9</v>
      </c>
      <c r="AI26" s="175" t="s">
        <v>9</v>
      </c>
      <c r="AJ26" s="175" t="s">
        <v>9</v>
      </c>
      <c r="AK26" s="175" t="s">
        <v>9</v>
      </c>
      <c r="AL26" s="172">
        <f t="shared" si="0"/>
        <v>25</v>
      </c>
      <c r="AM26" s="172">
        <f t="shared" si="1"/>
        <v>0</v>
      </c>
      <c r="AN26" s="172">
        <f t="shared" si="2"/>
        <v>0</v>
      </c>
      <c r="AO26" s="172">
        <f t="shared" si="3"/>
        <v>0</v>
      </c>
      <c r="AP26" s="172">
        <f t="shared" si="4"/>
        <v>0</v>
      </c>
      <c r="AQ26" s="172">
        <f t="shared" si="5"/>
        <v>0</v>
      </c>
      <c r="AR26" s="172">
        <f t="shared" si="6"/>
        <v>0</v>
      </c>
      <c r="AS26" s="176">
        <f t="shared" si="7"/>
        <v>0</v>
      </c>
      <c r="AT26" s="177"/>
    </row>
    <row r="27" spans="1:46" s="171" customFormat="1" ht="18" customHeight="1">
      <c r="A27" s="175">
        <v>21</v>
      </c>
      <c r="B27" s="173" t="s">
        <v>52</v>
      </c>
      <c r="C27" s="173" t="s">
        <v>53</v>
      </c>
      <c r="D27" s="172" t="s">
        <v>36</v>
      </c>
      <c r="E27" s="174" t="s">
        <v>24</v>
      </c>
      <c r="F27" s="173" t="s">
        <v>38</v>
      </c>
      <c r="G27" s="175"/>
      <c r="H27" s="175" t="s">
        <v>9</v>
      </c>
      <c r="I27" s="175" t="s">
        <v>9</v>
      </c>
      <c r="J27" s="175"/>
      <c r="K27" s="175" t="s">
        <v>9</v>
      </c>
      <c r="L27" s="175"/>
      <c r="M27" s="175" t="s">
        <v>9</v>
      </c>
      <c r="N27" s="175" t="s">
        <v>9</v>
      </c>
      <c r="O27" s="175" t="s">
        <v>9</v>
      </c>
      <c r="P27" s="175" t="s">
        <v>9</v>
      </c>
      <c r="Q27" s="175" t="s">
        <v>9</v>
      </c>
      <c r="R27" s="175" t="s">
        <v>9</v>
      </c>
      <c r="S27" s="175"/>
      <c r="T27" s="175" t="s">
        <v>9</v>
      </c>
      <c r="U27" s="175" t="s">
        <v>9</v>
      </c>
      <c r="V27" s="175" t="s">
        <v>9</v>
      </c>
      <c r="W27" s="175" t="s">
        <v>13</v>
      </c>
      <c r="X27" s="175" t="s">
        <v>9</v>
      </c>
      <c r="Y27" s="175" t="s">
        <v>9</v>
      </c>
      <c r="Z27" s="175"/>
      <c r="AA27" s="175" t="s">
        <v>9</v>
      </c>
      <c r="AB27" s="175" t="s">
        <v>9</v>
      </c>
      <c r="AC27" s="175" t="s">
        <v>9</v>
      </c>
      <c r="AD27" s="175" t="s">
        <v>9</v>
      </c>
      <c r="AE27" s="175" t="s">
        <v>9</v>
      </c>
      <c r="AF27" s="175" t="s">
        <v>9</v>
      </c>
      <c r="AG27" s="175"/>
      <c r="AH27" s="175" t="s">
        <v>9</v>
      </c>
      <c r="AI27" s="175" t="s">
        <v>9</v>
      </c>
      <c r="AJ27" s="175" t="s">
        <v>9</v>
      </c>
      <c r="AK27" s="175" t="s">
        <v>9</v>
      </c>
      <c r="AL27" s="172">
        <f t="shared" si="0"/>
        <v>24</v>
      </c>
      <c r="AM27" s="172">
        <f t="shared" si="1"/>
        <v>0</v>
      </c>
      <c r="AN27" s="172">
        <f t="shared" si="2"/>
        <v>0</v>
      </c>
      <c r="AO27" s="172">
        <f t="shared" si="3"/>
        <v>0</v>
      </c>
      <c r="AP27" s="172">
        <f t="shared" si="4"/>
        <v>1</v>
      </c>
      <c r="AQ27" s="172">
        <f t="shared" si="5"/>
        <v>0</v>
      </c>
      <c r="AR27" s="172">
        <f t="shared" si="6"/>
        <v>0</v>
      </c>
      <c r="AS27" s="176">
        <f t="shared" si="7"/>
        <v>0</v>
      </c>
      <c r="AT27" s="177"/>
    </row>
    <row r="28" spans="1:46" s="171" customFormat="1" ht="18" customHeight="1">
      <c r="A28" s="172">
        <v>22</v>
      </c>
      <c r="B28" s="173" t="s">
        <v>170</v>
      </c>
      <c r="C28" s="173" t="s">
        <v>60</v>
      </c>
      <c r="D28" s="172" t="s">
        <v>54</v>
      </c>
      <c r="E28" s="174" t="s">
        <v>24</v>
      </c>
      <c r="F28" s="173" t="s">
        <v>61</v>
      </c>
      <c r="G28" s="175"/>
      <c r="H28" s="175" t="s">
        <v>9</v>
      </c>
      <c r="I28" s="175" t="s">
        <v>9</v>
      </c>
      <c r="J28" s="175"/>
      <c r="K28" s="175" t="s">
        <v>9</v>
      </c>
      <c r="L28" s="175"/>
      <c r="M28" s="175" t="s">
        <v>13</v>
      </c>
      <c r="N28" s="175" t="s">
        <v>9</v>
      </c>
      <c r="O28" s="175" t="s">
        <v>9</v>
      </c>
      <c r="P28" s="175" t="s">
        <v>9</v>
      </c>
      <c r="Q28" s="175" t="s">
        <v>9</v>
      </c>
      <c r="R28" s="175" t="s">
        <v>9</v>
      </c>
      <c r="S28" s="175"/>
      <c r="T28" s="175" t="s">
        <v>9</v>
      </c>
      <c r="U28" s="175" t="s">
        <v>9</v>
      </c>
      <c r="V28" s="175" t="s">
        <v>9</v>
      </c>
      <c r="W28" s="175" t="s">
        <v>9</v>
      </c>
      <c r="X28" s="175" t="s">
        <v>9</v>
      </c>
      <c r="Y28" s="175" t="s">
        <v>9</v>
      </c>
      <c r="Z28" s="175"/>
      <c r="AA28" s="175" t="s">
        <v>9</v>
      </c>
      <c r="AB28" s="175" t="s">
        <v>9</v>
      </c>
      <c r="AC28" s="175" t="s">
        <v>9</v>
      </c>
      <c r="AD28" s="175" t="s">
        <v>9</v>
      </c>
      <c r="AE28" s="175" t="s">
        <v>9</v>
      </c>
      <c r="AF28" s="175" t="s">
        <v>9</v>
      </c>
      <c r="AG28" s="175"/>
      <c r="AH28" s="175" t="s">
        <v>9</v>
      </c>
      <c r="AI28" s="175" t="s">
        <v>9</v>
      </c>
      <c r="AJ28" s="175" t="s">
        <v>9</v>
      </c>
      <c r="AK28" s="175" t="s">
        <v>9</v>
      </c>
      <c r="AL28" s="172">
        <f t="shared" si="0"/>
        <v>24</v>
      </c>
      <c r="AM28" s="172">
        <f t="shared" si="1"/>
        <v>0</v>
      </c>
      <c r="AN28" s="172">
        <f t="shared" si="2"/>
        <v>0</v>
      </c>
      <c r="AO28" s="172">
        <f t="shared" si="3"/>
        <v>0</v>
      </c>
      <c r="AP28" s="172">
        <f t="shared" si="4"/>
        <v>1</v>
      </c>
      <c r="AQ28" s="172">
        <f t="shared" si="5"/>
        <v>0</v>
      </c>
      <c r="AR28" s="172">
        <f t="shared" si="6"/>
        <v>0</v>
      </c>
      <c r="AS28" s="176">
        <f t="shared" si="7"/>
        <v>0</v>
      </c>
      <c r="AT28" s="177"/>
    </row>
    <row r="29" spans="1:46" s="171" customFormat="1" ht="18" customHeight="1">
      <c r="A29" s="175">
        <v>23</v>
      </c>
      <c r="B29" s="173" t="s">
        <v>166</v>
      </c>
      <c r="C29" s="173" t="s">
        <v>62</v>
      </c>
      <c r="D29" s="172" t="s">
        <v>36</v>
      </c>
      <c r="E29" s="174" t="s">
        <v>24</v>
      </c>
      <c r="F29" s="173" t="s">
        <v>189</v>
      </c>
      <c r="G29" s="175"/>
      <c r="H29" s="175" t="s">
        <v>9</v>
      </c>
      <c r="I29" s="175" t="s">
        <v>9</v>
      </c>
      <c r="J29" s="175"/>
      <c r="K29" s="175" t="s">
        <v>9</v>
      </c>
      <c r="L29" s="175"/>
      <c r="M29" s="175" t="s">
        <v>11</v>
      </c>
      <c r="N29" s="175" t="s">
        <v>10</v>
      </c>
      <c r="O29" s="175" t="s">
        <v>9</v>
      </c>
      <c r="P29" s="175" t="s">
        <v>9</v>
      </c>
      <c r="Q29" s="175" t="s">
        <v>9</v>
      </c>
      <c r="R29" s="175" t="s">
        <v>9</v>
      </c>
      <c r="S29" s="175"/>
      <c r="T29" s="175" t="s">
        <v>9</v>
      </c>
      <c r="U29" s="175" t="s">
        <v>9</v>
      </c>
      <c r="V29" s="175" t="s">
        <v>9</v>
      </c>
      <c r="W29" s="175" t="s">
        <v>9</v>
      </c>
      <c r="X29" s="175" t="s">
        <v>9</v>
      </c>
      <c r="Y29" s="175" t="s">
        <v>9</v>
      </c>
      <c r="Z29" s="175"/>
      <c r="AA29" s="175" t="s">
        <v>9</v>
      </c>
      <c r="AB29" s="175" t="s">
        <v>9</v>
      </c>
      <c r="AC29" s="175" t="s">
        <v>9</v>
      </c>
      <c r="AD29" s="175" t="s">
        <v>9</v>
      </c>
      <c r="AE29" s="175" t="s">
        <v>10</v>
      </c>
      <c r="AF29" s="175" t="s">
        <v>10</v>
      </c>
      <c r="AG29" s="175"/>
      <c r="AH29" s="175" t="s">
        <v>10</v>
      </c>
      <c r="AI29" s="175" t="s">
        <v>10</v>
      </c>
      <c r="AJ29" s="175" t="s">
        <v>10</v>
      </c>
      <c r="AK29" s="175" t="s">
        <v>10</v>
      </c>
      <c r="AL29" s="172">
        <f t="shared" si="0"/>
        <v>17</v>
      </c>
      <c r="AM29" s="172">
        <f t="shared" si="1"/>
        <v>7</v>
      </c>
      <c r="AN29" s="172">
        <f t="shared" si="2"/>
        <v>1</v>
      </c>
      <c r="AO29" s="172">
        <f t="shared" si="3"/>
        <v>0</v>
      </c>
      <c r="AP29" s="172">
        <f t="shared" si="4"/>
        <v>0</v>
      </c>
      <c r="AQ29" s="172">
        <f t="shared" si="5"/>
        <v>0</v>
      </c>
      <c r="AR29" s="172">
        <f t="shared" si="6"/>
        <v>0</v>
      </c>
      <c r="AS29" s="176">
        <f t="shared" si="7"/>
        <v>0</v>
      </c>
      <c r="AT29" s="177"/>
    </row>
    <row r="30" spans="1:46" s="171" customFormat="1" ht="18" customHeight="1">
      <c r="A30" s="172">
        <v>24</v>
      </c>
      <c r="B30" s="173" t="s">
        <v>171</v>
      </c>
      <c r="C30" s="173" t="s">
        <v>63</v>
      </c>
      <c r="D30" s="172" t="s">
        <v>54</v>
      </c>
      <c r="E30" s="174" t="s">
        <v>24</v>
      </c>
      <c r="F30" s="173" t="s">
        <v>61</v>
      </c>
      <c r="G30" s="175"/>
      <c r="H30" s="175" t="s">
        <v>9</v>
      </c>
      <c r="I30" s="175" t="s">
        <v>9</v>
      </c>
      <c r="J30" s="175"/>
      <c r="K30" s="175" t="s">
        <v>9</v>
      </c>
      <c r="L30" s="175"/>
      <c r="M30" s="175" t="s">
        <v>9</v>
      </c>
      <c r="N30" s="175" t="s">
        <v>9</v>
      </c>
      <c r="O30" s="175" t="s">
        <v>9</v>
      </c>
      <c r="P30" s="175" t="s">
        <v>9</v>
      </c>
      <c r="Q30" s="175" t="s">
        <v>9</v>
      </c>
      <c r="R30" s="175" t="s">
        <v>9</v>
      </c>
      <c r="S30" s="175"/>
      <c r="T30" s="175" t="s">
        <v>9</v>
      </c>
      <c r="U30" s="175" t="s">
        <v>9</v>
      </c>
      <c r="V30" s="175" t="s">
        <v>9</v>
      </c>
      <c r="W30" s="175" t="s">
        <v>9</v>
      </c>
      <c r="X30" s="175" t="s">
        <v>9</v>
      </c>
      <c r="Y30" s="175" t="s">
        <v>9</v>
      </c>
      <c r="Z30" s="175"/>
      <c r="AA30" s="175" t="s">
        <v>9</v>
      </c>
      <c r="AB30" s="175" t="s">
        <v>9</v>
      </c>
      <c r="AC30" s="175" t="s">
        <v>9</v>
      </c>
      <c r="AD30" s="175" t="s">
        <v>9</v>
      </c>
      <c r="AE30" s="175" t="s">
        <v>9</v>
      </c>
      <c r="AF30" s="175" t="s">
        <v>9</v>
      </c>
      <c r="AG30" s="175"/>
      <c r="AH30" s="175" t="s">
        <v>9</v>
      </c>
      <c r="AI30" s="175" t="s">
        <v>9</v>
      </c>
      <c r="AJ30" s="175" t="s">
        <v>9</v>
      </c>
      <c r="AK30" s="175" t="s">
        <v>9</v>
      </c>
      <c r="AL30" s="172">
        <f t="shared" si="0"/>
        <v>25</v>
      </c>
      <c r="AM30" s="172">
        <f t="shared" si="1"/>
        <v>0</v>
      </c>
      <c r="AN30" s="172">
        <f t="shared" si="2"/>
        <v>0</v>
      </c>
      <c r="AO30" s="172">
        <f t="shared" si="3"/>
        <v>0</v>
      </c>
      <c r="AP30" s="172">
        <f t="shared" si="4"/>
        <v>0</v>
      </c>
      <c r="AQ30" s="172">
        <f t="shared" si="5"/>
        <v>0</v>
      </c>
      <c r="AR30" s="172">
        <f t="shared" si="6"/>
        <v>0</v>
      </c>
      <c r="AS30" s="176">
        <f t="shared" si="7"/>
        <v>0</v>
      </c>
      <c r="AT30" s="177"/>
    </row>
    <row r="31" spans="1:46" s="171" customFormat="1" ht="18" customHeight="1">
      <c r="A31" s="175">
        <v>25</v>
      </c>
      <c r="B31" s="173" t="s">
        <v>172</v>
      </c>
      <c r="C31" s="173" t="s">
        <v>64</v>
      </c>
      <c r="D31" s="172" t="s">
        <v>54</v>
      </c>
      <c r="E31" s="174" t="s">
        <v>24</v>
      </c>
      <c r="F31" s="181" t="s">
        <v>57</v>
      </c>
      <c r="G31" s="175"/>
      <c r="H31" s="175" t="s">
        <v>9</v>
      </c>
      <c r="I31" s="175" t="s">
        <v>9</v>
      </c>
      <c r="J31" s="175"/>
      <c r="K31" s="175" t="s">
        <v>11</v>
      </c>
      <c r="L31" s="175"/>
      <c r="M31" s="175" t="s">
        <v>9</v>
      </c>
      <c r="N31" s="175" t="s">
        <v>9</v>
      </c>
      <c r="O31" s="175" t="s">
        <v>9</v>
      </c>
      <c r="P31" s="175" t="s">
        <v>9</v>
      </c>
      <c r="Q31" s="175" t="s">
        <v>9</v>
      </c>
      <c r="R31" s="175" t="s">
        <v>15</v>
      </c>
      <c r="S31" s="175"/>
      <c r="T31" s="175" t="s">
        <v>11</v>
      </c>
      <c r="U31" s="175" t="s">
        <v>11</v>
      </c>
      <c r="V31" s="175" t="s">
        <v>9</v>
      </c>
      <c r="W31" s="175" t="s">
        <v>9</v>
      </c>
      <c r="X31" s="175" t="s">
        <v>9</v>
      </c>
      <c r="Y31" s="175" t="s">
        <v>9</v>
      </c>
      <c r="Z31" s="175"/>
      <c r="AA31" s="175" t="s">
        <v>9</v>
      </c>
      <c r="AB31" s="175" t="s">
        <v>9</v>
      </c>
      <c r="AC31" s="175" t="s">
        <v>9</v>
      </c>
      <c r="AD31" s="175" t="s">
        <v>9</v>
      </c>
      <c r="AE31" s="175" t="s">
        <v>9</v>
      </c>
      <c r="AF31" s="175" t="s">
        <v>9</v>
      </c>
      <c r="AG31" s="175"/>
      <c r="AH31" s="175" t="s">
        <v>9</v>
      </c>
      <c r="AI31" s="175" t="s">
        <v>9</v>
      </c>
      <c r="AJ31" s="175" t="s">
        <v>9</v>
      </c>
      <c r="AK31" s="175" t="s">
        <v>9</v>
      </c>
      <c r="AL31" s="172">
        <f t="shared" si="0"/>
        <v>21</v>
      </c>
      <c r="AM31" s="172">
        <f t="shared" si="1"/>
        <v>0</v>
      </c>
      <c r="AN31" s="172">
        <f t="shared" si="2"/>
        <v>3</v>
      </c>
      <c r="AO31" s="172">
        <f t="shared" si="3"/>
        <v>0</v>
      </c>
      <c r="AP31" s="172">
        <f t="shared" si="4"/>
        <v>0</v>
      </c>
      <c r="AQ31" s="172">
        <f t="shared" si="5"/>
        <v>0</v>
      </c>
      <c r="AR31" s="172">
        <f t="shared" si="6"/>
        <v>1</v>
      </c>
      <c r="AS31" s="176">
        <f t="shared" si="7"/>
        <v>0</v>
      </c>
      <c r="AT31" s="177"/>
    </row>
    <row r="32" spans="1:46" s="171" customFormat="1" ht="18" customHeight="1">
      <c r="A32" s="172">
        <v>26</v>
      </c>
      <c r="B32" s="173" t="s">
        <v>164</v>
      </c>
      <c r="C32" s="173" t="s">
        <v>66</v>
      </c>
      <c r="D32" s="172" t="s">
        <v>54</v>
      </c>
      <c r="E32" s="174" t="s">
        <v>24</v>
      </c>
      <c r="F32" s="173" t="s">
        <v>163</v>
      </c>
      <c r="G32" s="184"/>
      <c r="H32" s="175" t="s">
        <v>9</v>
      </c>
      <c r="I32" s="175" t="s">
        <v>9</v>
      </c>
      <c r="J32" s="175"/>
      <c r="K32" s="175" t="s">
        <v>9</v>
      </c>
      <c r="L32" s="175"/>
      <c r="M32" s="175" t="s">
        <v>9</v>
      </c>
      <c r="N32" s="175" t="s">
        <v>9</v>
      </c>
      <c r="O32" s="175" t="s">
        <v>9</v>
      </c>
      <c r="P32" s="175" t="s">
        <v>9</v>
      </c>
      <c r="Q32" s="175" t="s">
        <v>9</v>
      </c>
      <c r="R32" s="175" t="s">
        <v>9</v>
      </c>
      <c r="S32" s="175"/>
      <c r="T32" s="175" t="s">
        <v>9</v>
      </c>
      <c r="U32" s="175" t="s">
        <v>9</v>
      </c>
      <c r="V32" s="175" t="s">
        <v>9</v>
      </c>
      <c r="W32" s="175" t="s">
        <v>9</v>
      </c>
      <c r="X32" s="175" t="s">
        <v>9</v>
      </c>
      <c r="Y32" s="175" t="s">
        <v>9</v>
      </c>
      <c r="Z32" s="175"/>
      <c r="AA32" s="175" t="s">
        <v>9</v>
      </c>
      <c r="AB32" s="175" t="s">
        <v>9</v>
      </c>
      <c r="AC32" s="175" t="s">
        <v>9</v>
      </c>
      <c r="AD32" s="175" t="s">
        <v>9</v>
      </c>
      <c r="AE32" s="175" t="s">
        <v>9</v>
      </c>
      <c r="AF32" s="175" t="s">
        <v>9</v>
      </c>
      <c r="AG32" s="175"/>
      <c r="AH32" s="175" t="s">
        <v>9</v>
      </c>
      <c r="AI32" s="175" t="s">
        <v>9</v>
      </c>
      <c r="AJ32" s="175" t="s">
        <v>9</v>
      </c>
      <c r="AK32" s="175" t="s">
        <v>9</v>
      </c>
      <c r="AL32" s="172">
        <f t="shared" si="0"/>
        <v>25</v>
      </c>
      <c r="AM32" s="172">
        <f t="shared" si="1"/>
        <v>0</v>
      </c>
      <c r="AN32" s="172">
        <f t="shared" si="2"/>
        <v>0</v>
      </c>
      <c r="AO32" s="172">
        <f t="shared" si="3"/>
        <v>0</v>
      </c>
      <c r="AP32" s="172">
        <f t="shared" si="4"/>
        <v>0</v>
      </c>
      <c r="AQ32" s="172">
        <f t="shared" si="5"/>
        <v>0</v>
      </c>
      <c r="AR32" s="172">
        <f t="shared" si="6"/>
        <v>0</v>
      </c>
      <c r="AS32" s="176">
        <f t="shared" si="7"/>
        <v>0</v>
      </c>
      <c r="AT32" s="177"/>
    </row>
    <row r="33" spans="1:46" s="171" customFormat="1" ht="18" customHeight="1">
      <c r="A33" s="172">
        <v>27</v>
      </c>
      <c r="B33" s="173" t="s">
        <v>89</v>
      </c>
      <c r="C33" s="173" t="s">
        <v>177</v>
      </c>
      <c r="D33" s="172" t="s">
        <v>93</v>
      </c>
      <c r="E33" s="174" t="s">
        <v>24</v>
      </c>
      <c r="F33" s="173" t="s">
        <v>94</v>
      </c>
      <c r="G33" s="175"/>
      <c r="H33" s="175" t="s">
        <v>9</v>
      </c>
      <c r="I33" s="175" t="s">
        <v>9</v>
      </c>
      <c r="J33" s="175"/>
      <c r="K33" s="175" t="s">
        <v>9</v>
      </c>
      <c r="L33" s="175"/>
      <c r="M33" s="175" t="s">
        <v>9</v>
      </c>
      <c r="N33" s="175" t="s">
        <v>9</v>
      </c>
      <c r="O33" s="175" t="s">
        <v>9</v>
      </c>
      <c r="P33" s="175" t="s">
        <v>9</v>
      </c>
      <c r="Q33" s="175" t="s">
        <v>9</v>
      </c>
      <c r="R33" s="175" t="s">
        <v>9</v>
      </c>
      <c r="S33" s="175"/>
      <c r="T33" s="175" t="s">
        <v>9</v>
      </c>
      <c r="U33" s="175" t="s">
        <v>9</v>
      </c>
      <c r="V33" s="175" t="s">
        <v>9</v>
      </c>
      <c r="W33" s="175" t="s">
        <v>9</v>
      </c>
      <c r="X33" s="175" t="s">
        <v>9</v>
      </c>
      <c r="Y33" s="175" t="s">
        <v>9</v>
      </c>
      <c r="Z33" s="175"/>
      <c r="AA33" s="175" t="s">
        <v>9</v>
      </c>
      <c r="AB33" s="175" t="s">
        <v>9</v>
      </c>
      <c r="AC33" s="175" t="s">
        <v>9</v>
      </c>
      <c r="AD33" s="175" t="s">
        <v>9</v>
      </c>
      <c r="AE33" s="175" t="s">
        <v>9</v>
      </c>
      <c r="AF33" s="175" t="s">
        <v>9</v>
      </c>
      <c r="AG33" s="175"/>
      <c r="AH33" s="175" t="s">
        <v>10</v>
      </c>
      <c r="AI33" s="175" t="s">
        <v>9</v>
      </c>
      <c r="AJ33" s="175" t="s">
        <v>9</v>
      </c>
      <c r="AK33" s="175" t="s">
        <v>9</v>
      </c>
      <c r="AL33" s="172">
        <f t="shared" si="0"/>
        <v>24</v>
      </c>
      <c r="AM33" s="172">
        <f t="shared" si="1"/>
        <v>1</v>
      </c>
      <c r="AN33" s="172">
        <f t="shared" si="2"/>
        <v>0</v>
      </c>
      <c r="AO33" s="172">
        <f t="shared" si="3"/>
        <v>0</v>
      </c>
      <c r="AP33" s="172">
        <f t="shared" si="4"/>
        <v>0</v>
      </c>
      <c r="AQ33" s="172">
        <f t="shared" si="5"/>
        <v>0</v>
      </c>
      <c r="AR33" s="172">
        <f t="shared" si="6"/>
        <v>0</v>
      </c>
      <c r="AS33" s="176">
        <f t="shared" si="7"/>
        <v>0</v>
      </c>
      <c r="AT33" s="177"/>
    </row>
    <row r="34" spans="1:46" s="171" customFormat="1" ht="18" customHeight="1">
      <c r="A34" s="172">
        <v>28</v>
      </c>
      <c r="B34" s="173" t="s">
        <v>165</v>
      </c>
      <c r="C34" s="173" t="s">
        <v>72</v>
      </c>
      <c r="D34" s="172" t="s">
        <v>93</v>
      </c>
      <c r="E34" s="174" t="s">
        <v>73</v>
      </c>
      <c r="F34" s="181" t="s">
        <v>57</v>
      </c>
      <c r="G34" s="175"/>
      <c r="H34" s="175" t="s">
        <v>9</v>
      </c>
      <c r="I34" s="175" t="s">
        <v>9</v>
      </c>
      <c r="J34" s="175"/>
      <c r="K34" s="175" t="s">
        <v>9</v>
      </c>
      <c r="L34" s="175"/>
      <c r="M34" s="175" t="s">
        <v>13</v>
      </c>
      <c r="N34" s="175" t="s">
        <v>9</v>
      </c>
      <c r="O34" s="175" t="s">
        <v>9</v>
      </c>
      <c r="P34" s="175" t="s">
        <v>9</v>
      </c>
      <c r="Q34" s="175" t="s">
        <v>13</v>
      </c>
      <c r="R34" s="175" t="s">
        <v>9</v>
      </c>
      <c r="S34" s="175"/>
      <c r="T34" s="175" t="s">
        <v>9</v>
      </c>
      <c r="U34" s="175" t="s">
        <v>9</v>
      </c>
      <c r="V34" s="175" t="s">
        <v>9</v>
      </c>
      <c r="W34" s="175" t="s">
        <v>9</v>
      </c>
      <c r="X34" s="175" t="s">
        <v>9</v>
      </c>
      <c r="Y34" s="175" t="s">
        <v>9</v>
      </c>
      <c r="Z34" s="175"/>
      <c r="AA34" s="175" t="s">
        <v>9</v>
      </c>
      <c r="AB34" s="175" t="s">
        <v>13</v>
      </c>
      <c r="AC34" s="175" t="s">
        <v>9</v>
      </c>
      <c r="AD34" s="175" t="s">
        <v>9</v>
      </c>
      <c r="AE34" s="175" t="s">
        <v>9</v>
      </c>
      <c r="AF34" s="175" t="s">
        <v>9</v>
      </c>
      <c r="AG34" s="175"/>
      <c r="AH34" s="175" t="s">
        <v>9</v>
      </c>
      <c r="AI34" s="175" t="s">
        <v>9</v>
      </c>
      <c r="AJ34" s="175" t="s">
        <v>9</v>
      </c>
      <c r="AK34" s="175" t="s">
        <v>9</v>
      </c>
      <c r="AL34" s="172">
        <f t="shared" si="0"/>
        <v>22</v>
      </c>
      <c r="AM34" s="172">
        <f t="shared" si="1"/>
        <v>0</v>
      </c>
      <c r="AN34" s="172">
        <f t="shared" si="2"/>
        <v>0</v>
      </c>
      <c r="AO34" s="172">
        <f t="shared" si="3"/>
        <v>0</v>
      </c>
      <c r="AP34" s="172">
        <f t="shared" si="4"/>
        <v>3</v>
      </c>
      <c r="AQ34" s="172">
        <f t="shared" si="5"/>
        <v>0</v>
      </c>
      <c r="AR34" s="172">
        <f t="shared" si="6"/>
        <v>0</v>
      </c>
      <c r="AS34" s="176">
        <f t="shared" si="7"/>
        <v>0</v>
      </c>
      <c r="AT34" s="177"/>
    </row>
    <row r="35" spans="1:46" s="171" customFormat="1" ht="18" customHeight="1">
      <c r="A35" s="175">
        <v>29</v>
      </c>
      <c r="B35" s="173" t="s">
        <v>67</v>
      </c>
      <c r="C35" s="173" t="s">
        <v>68</v>
      </c>
      <c r="D35" s="172" t="s">
        <v>93</v>
      </c>
      <c r="E35" s="183" t="s">
        <v>24</v>
      </c>
      <c r="F35" s="181" t="s">
        <v>57</v>
      </c>
      <c r="G35" s="184"/>
      <c r="H35" s="175" t="s">
        <v>9</v>
      </c>
      <c r="I35" s="175" t="s">
        <v>9</v>
      </c>
      <c r="J35" s="175"/>
      <c r="K35" s="175" t="s">
        <v>9</v>
      </c>
      <c r="L35" s="175"/>
      <c r="M35" s="175" t="s">
        <v>9</v>
      </c>
      <c r="N35" s="175" t="s">
        <v>9</v>
      </c>
      <c r="O35" s="175" t="s">
        <v>9</v>
      </c>
      <c r="P35" s="175" t="s">
        <v>9</v>
      </c>
      <c r="Q35" s="175" t="s">
        <v>9</v>
      </c>
      <c r="R35" s="175" t="s">
        <v>9</v>
      </c>
      <c r="S35" s="175"/>
      <c r="T35" s="175" t="s">
        <v>9</v>
      </c>
      <c r="U35" s="175" t="s">
        <v>9</v>
      </c>
      <c r="V35" s="175" t="s">
        <v>9</v>
      </c>
      <c r="W35" s="175" t="s">
        <v>9</v>
      </c>
      <c r="X35" s="175" t="s">
        <v>9</v>
      </c>
      <c r="Y35" s="175" t="s">
        <v>9</v>
      </c>
      <c r="Z35" s="175"/>
      <c r="AA35" s="175" t="s">
        <v>9</v>
      </c>
      <c r="AB35" s="175" t="s">
        <v>9</v>
      </c>
      <c r="AC35" s="175" t="s">
        <v>9</v>
      </c>
      <c r="AD35" s="175" t="s">
        <v>9</v>
      </c>
      <c r="AE35" s="175" t="s">
        <v>9</v>
      </c>
      <c r="AF35" s="175" t="s">
        <v>9</v>
      </c>
      <c r="AG35" s="175"/>
      <c r="AH35" s="175" t="s">
        <v>9</v>
      </c>
      <c r="AI35" s="175" t="s">
        <v>9</v>
      </c>
      <c r="AJ35" s="175" t="s">
        <v>9</v>
      </c>
      <c r="AK35" s="175" t="s">
        <v>9</v>
      </c>
      <c r="AL35" s="172">
        <f t="shared" si="0"/>
        <v>25</v>
      </c>
      <c r="AM35" s="172">
        <f t="shared" si="1"/>
        <v>0</v>
      </c>
      <c r="AN35" s="172">
        <f t="shared" si="2"/>
        <v>0</v>
      </c>
      <c r="AO35" s="172">
        <f t="shared" si="3"/>
        <v>0</v>
      </c>
      <c r="AP35" s="172">
        <f t="shared" si="4"/>
        <v>0</v>
      </c>
      <c r="AQ35" s="172">
        <f t="shared" si="5"/>
        <v>0</v>
      </c>
      <c r="AR35" s="172">
        <f t="shared" si="6"/>
        <v>0</v>
      </c>
      <c r="AS35" s="176">
        <f t="shared" si="7"/>
        <v>0</v>
      </c>
      <c r="AT35" s="177"/>
    </row>
    <row r="36" spans="1:46" s="171" customFormat="1" ht="18" customHeight="1">
      <c r="A36" s="172">
        <v>30</v>
      </c>
      <c r="B36" s="173" t="s">
        <v>69</v>
      </c>
      <c r="C36" s="173" t="s">
        <v>70</v>
      </c>
      <c r="D36" s="172" t="s">
        <v>120</v>
      </c>
      <c r="E36" s="183" t="s">
        <v>24</v>
      </c>
      <c r="F36" s="173" t="s">
        <v>71</v>
      </c>
      <c r="G36" s="184"/>
      <c r="H36" s="175" t="s">
        <v>13</v>
      </c>
      <c r="I36" s="175" t="s">
        <v>13</v>
      </c>
      <c r="J36" s="175"/>
      <c r="K36" s="175" t="s">
        <v>15</v>
      </c>
      <c r="L36" s="175"/>
      <c r="M36" s="175" t="s">
        <v>13</v>
      </c>
      <c r="N36" s="175" t="s">
        <v>9</v>
      </c>
      <c r="O36" s="175" t="s">
        <v>9</v>
      </c>
      <c r="P36" s="175" t="s">
        <v>9</v>
      </c>
      <c r="Q36" s="175" t="s">
        <v>9</v>
      </c>
      <c r="R36" s="175" t="s">
        <v>15</v>
      </c>
      <c r="S36" s="175"/>
      <c r="T36" s="175" t="s">
        <v>9</v>
      </c>
      <c r="U36" s="175" t="s">
        <v>9</v>
      </c>
      <c r="V36" s="175" t="s">
        <v>9</v>
      </c>
      <c r="W36" s="175" t="s">
        <v>9</v>
      </c>
      <c r="X36" s="175" t="s">
        <v>9</v>
      </c>
      <c r="Y36" s="175" t="s">
        <v>9</v>
      </c>
      <c r="Z36" s="175"/>
      <c r="AA36" s="175" t="s">
        <v>9</v>
      </c>
      <c r="AB36" s="175" t="s">
        <v>9</v>
      </c>
      <c r="AC36" s="175" t="s">
        <v>9</v>
      </c>
      <c r="AD36" s="175" t="s">
        <v>9</v>
      </c>
      <c r="AE36" s="175" t="s">
        <v>9</v>
      </c>
      <c r="AF36" s="175" t="s">
        <v>15</v>
      </c>
      <c r="AG36" s="175"/>
      <c r="AH36" s="175" t="s">
        <v>9</v>
      </c>
      <c r="AI36" s="175" t="s">
        <v>9</v>
      </c>
      <c r="AJ36" s="175" t="s">
        <v>9</v>
      </c>
      <c r="AK36" s="175" t="s">
        <v>9</v>
      </c>
      <c r="AL36" s="172">
        <f t="shared" si="0"/>
        <v>19</v>
      </c>
      <c r="AM36" s="172">
        <f t="shared" si="1"/>
        <v>0</v>
      </c>
      <c r="AN36" s="172">
        <f t="shared" si="2"/>
        <v>0</v>
      </c>
      <c r="AO36" s="172">
        <f t="shared" si="3"/>
        <v>0</v>
      </c>
      <c r="AP36" s="172">
        <f t="shared" si="4"/>
        <v>3</v>
      </c>
      <c r="AQ36" s="172">
        <f t="shared" si="5"/>
        <v>0</v>
      </c>
      <c r="AR36" s="172">
        <f t="shared" si="6"/>
        <v>3</v>
      </c>
      <c r="AS36" s="176">
        <f t="shared" si="7"/>
        <v>0</v>
      </c>
      <c r="AT36" s="177"/>
    </row>
    <row r="37" spans="1:46" s="171" customFormat="1" ht="18" customHeight="1">
      <c r="A37" s="175">
        <v>31</v>
      </c>
      <c r="B37" s="173" t="s">
        <v>188</v>
      </c>
      <c r="C37" s="173" t="s">
        <v>74</v>
      </c>
      <c r="D37" s="172" t="s">
        <v>93</v>
      </c>
      <c r="E37" s="174" t="s">
        <v>73</v>
      </c>
      <c r="F37" s="181" t="s">
        <v>57</v>
      </c>
      <c r="G37" s="175"/>
      <c r="H37" s="175" t="s">
        <v>9</v>
      </c>
      <c r="I37" s="175" t="s">
        <v>9</v>
      </c>
      <c r="J37" s="175"/>
      <c r="K37" s="175" t="s">
        <v>9</v>
      </c>
      <c r="L37" s="175"/>
      <c r="M37" s="175" t="s">
        <v>9</v>
      </c>
      <c r="N37" s="175" t="s">
        <v>9</v>
      </c>
      <c r="O37" s="175" t="s">
        <v>9</v>
      </c>
      <c r="P37" s="175" t="s">
        <v>9</v>
      </c>
      <c r="Q37" s="175" t="s">
        <v>9</v>
      </c>
      <c r="R37" s="175" t="s">
        <v>9</v>
      </c>
      <c r="S37" s="175"/>
      <c r="T37" s="175" t="s">
        <v>9</v>
      </c>
      <c r="U37" s="175" t="s">
        <v>9</v>
      </c>
      <c r="V37" s="175" t="s">
        <v>9</v>
      </c>
      <c r="W37" s="175" t="s">
        <v>9</v>
      </c>
      <c r="X37" s="175" t="s">
        <v>9</v>
      </c>
      <c r="Y37" s="175" t="s">
        <v>9</v>
      </c>
      <c r="Z37" s="175"/>
      <c r="AA37" s="175" t="s">
        <v>9</v>
      </c>
      <c r="AB37" s="175" t="s">
        <v>9</v>
      </c>
      <c r="AC37" s="175" t="s">
        <v>9</v>
      </c>
      <c r="AD37" s="175" t="s">
        <v>9</v>
      </c>
      <c r="AE37" s="175" t="s">
        <v>9</v>
      </c>
      <c r="AF37" s="175" t="s">
        <v>9</v>
      </c>
      <c r="AG37" s="175"/>
      <c r="AH37" s="175" t="s">
        <v>9</v>
      </c>
      <c r="AI37" s="175" t="s">
        <v>9</v>
      </c>
      <c r="AJ37" s="175" t="s">
        <v>9</v>
      </c>
      <c r="AK37" s="175" t="s">
        <v>9</v>
      </c>
      <c r="AL37" s="172">
        <f t="shared" si="0"/>
        <v>25</v>
      </c>
      <c r="AM37" s="172">
        <f t="shared" si="1"/>
        <v>0</v>
      </c>
      <c r="AN37" s="172">
        <f t="shared" si="2"/>
        <v>0</v>
      </c>
      <c r="AO37" s="172">
        <f t="shared" si="3"/>
        <v>0</v>
      </c>
      <c r="AP37" s="172">
        <f t="shared" si="4"/>
        <v>0</v>
      </c>
      <c r="AQ37" s="172">
        <f t="shared" si="5"/>
        <v>0</v>
      </c>
      <c r="AR37" s="172">
        <f t="shared" si="6"/>
        <v>0</v>
      </c>
      <c r="AS37" s="176">
        <f t="shared" si="7"/>
        <v>0</v>
      </c>
      <c r="AT37" s="177"/>
    </row>
    <row r="38" spans="1:46" s="171" customFormat="1" ht="18" customHeight="1">
      <c r="A38" s="172">
        <v>32</v>
      </c>
      <c r="B38" s="173" t="s">
        <v>173</v>
      </c>
      <c r="C38" s="173" t="s">
        <v>178</v>
      </c>
      <c r="D38" s="172" t="s">
        <v>120</v>
      </c>
      <c r="E38" s="174" t="s">
        <v>24</v>
      </c>
      <c r="F38" s="186" t="s">
        <v>184</v>
      </c>
      <c r="G38" s="175"/>
      <c r="H38" s="175" t="s">
        <v>9</v>
      </c>
      <c r="I38" s="175" t="s">
        <v>9</v>
      </c>
      <c r="J38" s="175"/>
      <c r="K38" s="175" t="s">
        <v>9</v>
      </c>
      <c r="L38" s="175"/>
      <c r="M38" s="175" t="s">
        <v>9</v>
      </c>
      <c r="N38" s="175" t="s">
        <v>9</v>
      </c>
      <c r="O38" s="175" t="s">
        <v>9</v>
      </c>
      <c r="P38" s="175" t="s">
        <v>9</v>
      </c>
      <c r="Q38" s="175" t="s">
        <v>9</v>
      </c>
      <c r="R38" s="175" t="s">
        <v>9</v>
      </c>
      <c r="S38" s="175"/>
      <c r="T38" s="175" t="s">
        <v>9</v>
      </c>
      <c r="U38" s="175" t="s">
        <v>9</v>
      </c>
      <c r="V38" s="175" t="s">
        <v>10</v>
      </c>
      <c r="W38" s="175" t="s">
        <v>9</v>
      </c>
      <c r="X38" s="175" t="s">
        <v>9</v>
      </c>
      <c r="Y38" s="175" t="s">
        <v>9</v>
      </c>
      <c r="Z38" s="175"/>
      <c r="AA38" s="175" t="s">
        <v>9</v>
      </c>
      <c r="AB38" s="175" t="s">
        <v>9</v>
      </c>
      <c r="AC38" s="175" t="s">
        <v>9</v>
      </c>
      <c r="AD38" s="175" t="s">
        <v>9</v>
      </c>
      <c r="AE38" s="175" t="s">
        <v>9</v>
      </c>
      <c r="AF38" s="175" t="s">
        <v>11</v>
      </c>
      <c r="AG38" s="175"/>
      <c r="AH38" s="175" t="s">
        <v>9</v>
      </c>
      <c r="AI38" s="175" t="s">
        <v>9</v>
      </c>
      <c r="AJ38" s="175" t="s">
        <v>9</v>
      </c>
      <c r="AK38" s="175" t="s">
        <v>9</v>
      </c>
      <c r="AL38" s="172">
        <f t="shared" si="0"/>
        <v>23</v>
      </c>
      <c r="AM38" s="172">
        <f t="shared" si="1"/>
        <v>1</v>
      </c>
      <c r="AN38" s="172">
        <f t="shared" si="2"/>
        <v>1</v>
      </c>
      <c r="AO38" s="172">
        <f t="shared" si="3"/>
        <v>0</v>
      </c>
      <c r="AP38" s="172">
        <f t="shared" si="4"/>
        <v>0</v>
      </c>
      <c r="AQ38" s="172">
        <f t="shared" si="5"/>
        <v>0</v>
      </c>
      <c r="AR38" s="172">
        <f t="shared" si="6"/>
        <v>0</v>
      </c>
      <c r="AS38" s="176">
        <f t="shared" si="7"/>
        <v>0</v>
      </c>
      <c r="AT38" s="177"/>
    </row>
    <row r="39" spans="1:46" s="171" customFormat="1" ht="18" customHeight="1">
      <c r="A39" s="175">
        <v>33</v>
      </c>
      <c r="B39" s="173" t="s">
        <v>75</v>
      </c>
      <c r="C39" s="173" t="s">
        <v>76</v>
      </c>
      <c r="D39" s="172" t="s">
        <v>185</v>
      </c>
      <c r="E39" s="174" t="s">
        <v>24</v>
      </c>
      <c r="F39" s="186" t="s">
        <v>186</v>
      </c>
      <c r="G39" s="175"/>
      <c r="H39" s="175" t="s">
        <v>9</v>
      </c>
      <c r="I39" s="175" t="s">
        <v>9</v>
      </c>
      <c r="J39" s="175"/>
      <c r="K39" s="175" t="s">
        <v>9</v>
      </c>
      <c r="L39" s="175"/>
      <c r="M39" s="175" t="s">
        <v>9</v>
      </c>
      <c r="N39" s="175" t="s">
        <v>11</v>
      </c>
      <c r="O39" s="175" t="s">
        <v>9</v>
      </c>
      <c r="P39" s="175" t="s">
        <v>9</v>
      </c>
      <c r="Q39" s="175" t="s">
        <v>9</v>
      </c>
      <c r="R39" s="175" t="s">
        <v>9</v>
      </c>
      <c r="S39" s="175"/>
      <c r="T39" s="175" t="s">
        <v>9</v>
      </c>
      <c r="U39" s="175" t="s">
        <v>9</v>
      </c>
      <c r="V39" s="175" t="s">
        <v>9</v>
      </c>
      <c r="W39" s="175" t="s">
        <v>9</v>
      </c>
      <c r="X39" s="175" t="s">
        <v>9</v>
      </c>
      <c r="Y39" s="175" t="s">
        <v>9</v>
      </c>
      <c r="Z39" s="175"/>
      <c r="AA39" s="175" t="s">
        <v>11</v>
      </c>
      <c r="AB39" s="175" t="s">
        <v>9</v>
      </c>
      <c r="AC39" s="175" t="s">
        <v>9</v>
      </c>
      <c r="AD39" s="175" t="s">
        <v>9</v>
      </c>
      <c r="AE39" s="175" t="s">
        <v>11</v>
      </c>
      <c r="AF39" s="175" t="s">
        <v>9</v>
      </c>
      <c r="AG39" s="175"/>
      <c r="AH39" s="175" t="s">
        <v>13</v>
      </c>
      <c r="AI39" s="175" t="s">
        <v>9</v>
      </c>
      <c r="AJ39" s="175" t="s">
        <v>9</v>
      </c>
      <c r="AK39" s="175" t="s">
        <v>9</v>
      </c>
      <c r="AL39" s="172">
        <f t="shared" ref="AL39:AL56" si="8">COUNTIF(H39:AK39,"H")</f>
        <v>21</v>
      </c>
      <c r="AM39" s="172">
        <f t="shared" ref="AM39:AM56" si="9">COUNTIF(H39:AK39,"S")</f>
        <v>0</v>
      </c>
      <c r="AN39" s="172">
        <f t="shared" ref="AN39:AN56" si="10">COUNTIF(H39:AK39,"I")</f>
        <v>3</v>
      </c>
      <c r="AO39" s="172">
        <f t="shared" ref="AO39:AO56" si="11">COUNTIF(H39:AK39,"C")</f>
        <v>0</v>
      </c>
      <c r="AP39" s="172">
        <f t="shared" ref="AP39:AP56" si="12">COUNTIF(H39:AK39,"DL")</f>
        <v>1</v>
      </c>
      <c r="AQ39" s="172">
        <f t="shared" ref="AQ39:AQ56" si="13">COUNTIF(H39:AK39,"CB")</f>
        <v>0</v>
      </c>
      <c r="AR39" s="172">
        <f t="shared" ref="AR39:AR56" si="14">COUNTIF(H39:AK39,"IB")</f>
        <v>0</v>
      </c>
      <c r="AS39" s="176">
        <f t="shared" ref="AS39:AS56" si="15">COUNTIF(H39:AK39,"TK")</f>
        <v>0</v>
      </c>
      <c r="AT39" s="177"/>
    </row>
    <row r="40" spans="1:46" s="171" customFormat="1" ht="18" customHeight="1">
      <c r="A40" s="172">
        <v>34</v>
      </c>
      <c r="B40" s="173" t="s">
        <v>108</v>
      </c>
      <c r="C40" s="187" t="s">
        <v>116</v>
      </c>
      <c r="D40" s="172" t="s">
        <v>106</v>
      </c>
      <c r="E40" s="172" t="s">
        <v>24</v>
      </c>
      <c r="F40" s="188" t="s">
        <v>107</v>
      </c>
      <c r="G40" s="189"/>
      <c r="H40" s="175" t="s">
        <v>9</v>
      </c>
      <c r="I40" s="175" t="s">
        <v>9</v>
      </c>
      <c r="J40" s="175"/>
      <c r="K40" s="175" t="s">
        <v>9</v>
      </c>
      <c r="L40" s="175"/>
      <c r="M40" s="175" t="s">
        <v>9</v>
      </c>
      <c r="N40" s="175" t="s">
        <v>9</v>
      </c>
      <c r="O40" s="175" t="s">
        <v>9</v>
      </c>
      <c r="P40" s="175" t="s">
        <v>9</v>
      </c>
      <c r="Q40" s="175" t="s">
        <v>9</v>
      </c>
      <c r="R40" s="175" t="s">
        <v>9</v>
      </c>
      <c r="S40" s="175"/>
      <c r="T40" s="175" t="s">
        <v>9</v>
      </c>
      <c r="U40" s="175" t="s">
        <v>9</v>
      </c>
      <c r="V40" s="175" t="s">
        <v>9</v>
      </c>
      <c r="W40" s="175" t="s">
        <v>9</v>
      </c>
      <c r="X40" s="175" t="s">
        <v>9</v>
      </c>
      <c r="Y40" s="175" t="s">
        <v>9</v>
      </c>
      <c r="Z40" s="175"/>
      <c r="AA40" s="175" t="s">
        <v>9</v>
      </c>
      <c r="AB40" s="175" t="s">
        <v>9</v>
      </c>
      <c r="AC40" s="175" t="s">
        <v>9</v>
      </c>
      <c r="AD40" s="175" t="s">
        <v>9</v>
      </c>
      <c r="AE40" s="175" t="s">
        <v>9</v>
      </c>
      <c r="AF40" s="175" t="s">
        <v>9</v>
      </c>
      <c r="AG40" s="175"/>
      <c r="AH40" s="175" t="s">
        <v>9</v>
      </c>
      <c r="AI40" s="175" t="s">
        <v>9</v>
      </c>
      <c r="AJ40" s="175" t="s">
        <v>13</v>
      </c>
      <c r="AK40" s="175" t="s">
        <v>9</v>
      </c>
      <c r="AL40" s="172">
        <f t="shared" si="8"/>
        <v>24</v>
      </c>
      <c r="AM40" s="172">
        <f t="shared" si="9"/>
        <v>0</v>
      </c>
      <c r="AN40" s="172">
        <f t="shared" si="10"/>
        <v>0</v>
      </c>
      <c r="AO40" s="172">
        <f t="shared" si="11"/>
        <v>0</v>
      </c>
      <c r="AP40" s="172">
        <f t="shared" si="12"/>
        <v>1</v>
      </c>
      <c r="AQ40" s="172">
        <f t="shared" si="13"/>
        <v>0</v>
      </c>
      <c r="AR40" s="172">
        <f t="shared" si="14"/>
        <v>0</v>
      </c>
      <c r="AS40" s="176">
        <f t="shared" si="15"/>
        <v>0</v>
      </c>
      <c r="AT40" s="177"/>
    </row>
    <row r="41" spans="1:46" s="171" customFormat="1" ht="18" customHeight="1">
      <c r="A41" s="172">
        <v>35</v>
      </c>
      <c r="B41" s="173" t="s">
        <v>174</v>
      </c>
      <c r="C41" s="187" t="s">
        <v>117</v>
      </c>
      <c r="D41" s="172" t="s">
        <v>106</v>
      </c>
      <c r="E41" s="174" t="s">
        <v>24</v>
      </c>
      <c r="F41" s="188" t="s">
        <v>111</v>
      </c>
      <c r="G41" s="190"/>
      <c r="H41" s="175" t="s">
        <v>9</v>
      </c>
      <c r="I41" s="175" t="s">
        <v>9</v>
      </c>
      <c r="J41" s="175"/>
      <c r="K41" s="175" t="s">
        <v>9</v>
      </c>
      <c r="L41" s="175"/>
      <c r="M41" s="175" t="s">
        <v>9</v>
      </c>
      <c r="N41" s="175" t="s">
        <v>9</v>
      </c>
      <c r="O41" s="175" t="s">
        <v>9</v>
      </c>
      <c r="P41" s="175" t="s">
        <v>9</v>
      </c>
      <c r="Q41" s="175" t="s">
        <v>9</v>
      </c>
      <c r="R41" s="175" t="s">
        <v>9</v>
      </c>
      <c r="S41" s="175"/>
      <c r="T41" s="175" t="s">
        <v>9</v>
      </c>
      <c r="U41" s="175" t="s">
        <v>9</v>
      </c>
      <c r="V41" s="175" t="s">
        <v>10</v>
      </c>
      <c r="W41" s="175" t="s">
        <v>9</v>
      </c>
      <c r="X41" s="175" t="s">
        <v>9</v>
      </c>
      <c r="Y41" s="175" t="s">
        <v>9</v>
      </c>
      <c r="Z41" s="175"/>
      <c r="AA41" s="175" t="s">
        <v>9</v>
      </c>
      <c r="AB41" s="175" t="s">
        <v>9</v>
      </c>
      <c r="AC41" s="175" t="s">
        <v>9</v>
      </c>
      <c r="AD41" s="175" t="s">
        <v>9</v>
      </c>
      <c r="AE41" s="175" t="s">
        <v>9</v>
      </c>
      <c r="AF41" s="175" t="s">
        <v>9</v>
      </c>
      <c r="AG41" s="175"/>
      <c r="AH41" s="175" t="s">
        <v>9</v>
      </c>
      <c r="AI41" s="175" t="s">
        <v>9</v>
      </c>
      <c r="AJ41" s="175" t="s">
        <v>9</v>
      </c>
      <c r="AK41" s="175" t="s">
        <v>9</v>
      </c>
      <c r="AL41" s="172">
        <f t="shared" si="8"/>
        <v>24</v>
      </c>
      <c r="AM41" s="172">
        <f t="shared" si="9"/>
        <v>1</v>
      </c>
      <c r="AN41" s="172">
        <f t="shared" si="10"/>
        <v>0</v>
      </c>
      <c r="AO41" s="172">
        <f t="shared" si="11"/>
        <v>0</v>
      </c>
      <c r="AP41" s="172">
        <f t="shared" si="12"/>
        <v>0</v>
      </c>
      <c r="AQ41" s="172">
        <f t="shared" si="13"/>
        <v>0</v>
      </c>
      <c r="AR41" s="172">
        <f t="shared" si="14"/>
        <v>0</v>
      </c>
      <c r="AS41" s="172">
        <f t="shared" si="15"/>
        <v>0</v>
      </c>
      <c r="AT41" s="177"/>
    </row>
    <row r="42" spans="1:46" s="171" customFormat="1" ht="18" customHeight="1">
      <c r="A42" s="172">
        <v>36</v>
      </c>
      <c r="B42" s="173" t="s">
        <v>112</v>
      </c>
      <c r="C42" s="187" t="s">
        <v>118</v>
      </c>
      <c r="D42" s="172" t="s">
        <v>106</v>
      </c>
      <c r="E42" s="174" t="s">
        <v>24</v>
      </c>
      <c r="F42" s="188" t="s">
        <v>113</v>
      </c>
      <c r="G42" s="190"/>
      <c r="H42" s="175" t="s">
        <v>11</v>
      </c>
      <c r="I42" s="175" t="s">
        <v>9</v>
      </c>
      <c r="J42" s="175"/>
      <c r="K42" s="175" t="s">
        <v>9</v>
      </c>
      <c r="L42" s="175"/>
      <c r="M42" s="175" t="s">
        <v>9</v>
      </c>
      <c r="N42" s="175" t="s">
        <v>9</v>
      </c>
      <c r="O42" s="175" t="s">
        <v>9</v>
      </c>
      <c r="P42" s="175" t="s">
        <v>9</v>
      </c>
      <c r="Q42" s="175" t="s">
        <v>9</v>
      </c>
      <c r="R42" s="175" t="s">
        <v>11</v>
      </c>
      <c r="S42" s="175"/>
      <c r="T42" s="175" t="s">
        <v>9</v>
      </c>
      <c r="U42" s="175" t="s">
        <v>9</v>
      </c>
      <c r="V42" s="175" t="s">
        <v>9</v>
      </c>
      <c r="W42" s="175" t="s">
        <v>13</v>
      </c>
      <c r="X42" s="175" t="s">
        <v>9</v>
      </c>
      <c r="Y42" s="175" t="s">
        <v>9</v>
      </c>
      <c r="Z42" s="175"/>
      <c r="AA42" s="175" t="s">
        <v>9</v>
      </c>
      <c r="AB42" s="175" t="s">
        <v>13</v>
      </c>
      <c r="AC42" s="175" t="s">
        <v>9</v>
      </c>
      <c r="AD42" s="175" t="s">
        <v>9</v>
      </c>
      <c r="AE42" s="175" t="s">
        <v>11</v>
      </c>
      <c r="AF42" s="175" t="s">
        <v>9</v>
      </c>
      <c r="AG42" s="175"/>
      <c r="AH42" s="175" t="s">
        <v>9</v>
      </c>
      <c r="AI42" s="175" t="s">
        <v>13</v>
      </c>
      <c r="AJ42" s="175" t="s">
        <v>9</v>
      </c>
      <c r="AK42" s="175" t="s">
        <v>9</v>
      </c>
      <c r="AL42" s="172">
        <f t="shared" si="8"/>
        <v>19</v>
      </c>
      <c r="AM42" s="172">
        <f t="shared" si="9"/>
        <v>0</v>
      </c>
      <c r="AN42" s="172">
        <f t="shared" si="10"/>
        <v>3</v>
      </c>
      <c r="AO42" s="172">
        <f t="shared" si="11"/>
        <v>0</v>
      </c>
      <c r="AP42" s="172">
        <f t="shared" si="12"/>
        <v>3</v>
      </c>
      <c r="AQ42" s="172">
        <f t="shared" si="13"/>
        <v>0</v>
      </c>
      <c r="AR42" s="172">
        <f t="shared" si="14"/>
        <v>0</v>
      </c>
      <c r="AS42" s="172">
        <f t="shared" si="15"/>
        <v>0</v>
      </c>
      <c r="AT42" s="177"/>
    </row>
    <row r="43" spans="1:46" s="171" customFormat="1" ht="18" customHeight="1">
      <c r="A43" s="175">
        <v>37</v>
      </c>
      <c r="B43" s="173" t="s">
        <v>81</v>
      </c>
      <c r="C43" s="187" t="s">
        <v>119</v>
      </c>
      <c r="D43" s="172" t="s">
        <v>114</v>
      </c>
      <c r="E43" s="174" t="s">
        <v>24</v>
      </c>
      <c r="F43" s="188" t="s">
        <v>115</v>
      </c>
      <c r="G43" s="190"/>
      <c r="H43" s="175" t="s">
        <v>9</v>
      </c>
      <c r="I43" s="175" t="s">
        <v>9</v>
      </c>
      <c r="J43" s="175"/>
      <c r="K43" s="175" t="s">
        <v>10</v>
      </c>
      <c r="L43" s="175"/>
      <c r="M43" s="175" t="s">
        <v>9</v>
      </c>
      <c r="N43" s="175" t="s">
        <v>9</v>
      </c>
      <c r="O43" s="175" t="s">
        <v>9</v>
      </c>
      <c r="P43" s="175" t="s">
        <v>9</v>
      </c>
      <c r="Q43" s="175" t="s">
        <v>9</v>
      </c>
      <c r="R43" s="175" t="s">
        <v>9</v>
      </c>
      <c r="S43" s="175"/>
      <c r="T43" s="175" t="s">
        <v>9</v>
      </c>
      <c r="U43" s="175" t="s">
        <v>9</v>
      </c>
      <c r="V43" s="175" t="s">
        <v>9</v>
      </c>
      <c r="W43" s="175" t="s">
        <v>9</v>
      </c>
      <c r="X43" s="175" t="s">
        <v>9</v>
      </c>
      <c r="Y43" s="175" t="s">
        <v>9</v>
      </c>
      <c r="Z43" s="175"/>
      <c r="AA43" s="175" t="s">
        <v>9</v>
      </c>
      <c r="AB43" s="175" t="s">
        <v>9</v>
      </c>
      <c r="AC43" s="175" t="s">
        <v>9</v>
      </c>
      <c r="AD43" s="175" t="s">
        <v>9</v>
      </c>
      <c r="AE43" s="175" t="s">
        <v>9</v>
      </c>
      <c r="AF43" s="175" t="s">
        <v>9</v>
      </c>
      <c r="AG43" s="175"/>
      <c r="AH43" s="175" t="s">
        <v>9</v>
      </c>
      <c r="AI43" s="175" t="s">
        <v>9</v>
      </c>
      <c r="AJ43" s="175" t="s">
        <v>9</v>
      </c>
      <c r="AK43" s="175" t="s">
        <v>9</v>
      </c>
      <c r="AL43" s="172">
        <f t="shared" si="8"/>
        <v>24</v>
      </c>
      <c r="AM43" s="172">
        <f t="shared" si="9"/>
        <v>1</v>
      </c>
      <c r="AN43" s="172">
        <f t="shared" si="10"/>
        <v>0</v>
      </c>
      <c r="AO43" s="172">
        <f t="shared" si="11"/>
        <v>0</v>
      </c>
      <c r="AP43" s="172">
        <f t="shared" si="12"/>
        <v>0</v>
      </c>
      <c r="AQ43" s="172">
        <f t="shared" si="13"/>
        <v>0</v>
      </c>
      <c r="AR43" s="172">
        <f t="shared" si="14"/>
        <v>0</v>
      </c>
      <c r="AS43" s="172">
        <f t="shared" si="15"/>
        <v>0</v>
      </c>
      <c r="AT43" s="177"/>
    </row>
    <row r="44" spans="1:46" s="171" customFormat="1" ht="18" customHeight="1">
      <c r="A44" s="172">
        <v>38</v>
      </c>
      <c r="B44" s="173" t="s">
        <v>125</v>
      </c>
      <c r="C44" s="173" t="s">
        <v>126</v>
      </c>
      <c r="D44" s="172"/>
      <c r="E44" s="174" t="s">
        <v>77</v>
      </c>
      <c r="F44" s="192" t="s">
        <v>142</v>
      </c>
      <c r="G44" s="190"/>
      <c r="H44" s="175" t="s">
        <v>9</v>
      </c>
      <c r="I44" s="175" t="s">
        <v>9</v>
      </c>
      <c r="J44" s="175"/>
      <c r="K44" s="175" t="s">
        <v>9</v>
      </c>
      <c r="L44" s="175"/>
      <c r="M44" s="175" t="s">
        <v>9</v>
      </c>
      <c r="N44" s="175" t="s">
        <v>9</v>
      </c>
      <c r="O44" s="175" t="s">
        <v>9</v>
      </c>
      <c r="P44" s="175" t="s">
        <v>9</v>
      </c>
      <c r="Q44" s="175" t="s">
        <v>9</v>
      </c>
      <c r="R44" s="175" t="s">
        <v>9</v>
      </c>
      <c r="S44" s="175"/>
      <c r="T44" s="175" t="s">
        <v>9</v>
      </c>
      <c r="U44" s="175" t="s">
        <v>9</v>
      </c>
      <c r="V44" s="175" t="s">
        <v>9</v>
      </c>
      <c r="W44" s="175" t="s">
        <v>9</v>
      </c>
      <c r="X44" s="175" t="s">
        <v>9</v>
      </c>
      <c r="Y44" s="175" t="s">
        <v>11</v>
      </c>
      <c r="Z44" s="175"/>
      <c r="AA44" s="175" t="s">
        <v>9</v>
      </c>
      <c r="AB44" s="175" t="s">
        <v>9</v>
      </c>
      <c r="AC44" s="175" t="s">
        <v>9</v>
      </c>
      <c r="AD44" s="175" t="s">
        <v>11</v>
      </c>
      <c r="AE44" s="175" t="s">
        <v>9</v>
      </c>
      <c r="AF44" s="175" t="s">
        <v>9</v>
      </c>
      <c r="AG44" s="175"/>
      <c r="AH44" s="175" t="s">
        <v>9</v>
      </c>
      <c r="AI44" s="175" t="s">
        <v>9</v>
      </c>
      <c r="AJ44" s="175" t="s">
        <v>9</v>
      </c>
      <c r="AK44" s="175" t="s">
        <v>9</v>
      </c>
      <c r="AL44" s="172">
        <f t="shared" si="8"/>
        <v>23</v>
      </c>
      <c r="AM44" s="172">
        <f t="shared" si="9"/>
        <v>0</v>
      </c>
      <c r="AN44" s="172">
        <f t="shared" si="10"/>
        <v>2</v>
      </c>
      <c r="AO44" s="172">
        <f t="shared" si="11"/>
        <v>0</v>
      </c>
      <c r="AP44" s="172">
        <f t="shared" si="12"/>
        <v>0</v>
      </c>
      <c r="AQ44" s="172">
        <f t="shared" si="13"/>
        <v>0</v>
      </c>
      <c r="AR44" s="172">
        <f t="shared" si="14"/>
        <v>0</v>
      </c>
      <c r="AS44" s="172">
        <f t="shared" si="15"/>
        <v>0</v>
      </c>
      <c r="AT44" s="177"/>
    </row>
    <row r="45" spans="1:46" s="171" customFormat="1" ht="18" customHeight="1">
      <c r="A45" s="172">
        <v>39</v>
      </c>
      <c r="B45" s="173" t="s">
        <v>80</v>
      </c>
      <c r="C45" s="173" t="s">
        <v>127</v>
      </c>
      <c r="D45" s="172"/>
      <c r="E45" s="174" t="s">
        <v>77</v>
      </c>
      <c r="F45" s="192" t="s">
        <v>71</v>
      </c>
      <c r="G45" s="193"/>
      <c r="H45" s="175" t="s">
        <v>9</v>
      </c>
      <c r="I45" s="175" t="s">
        <v>9</v>
      </c>
      <c r="J45" s="175"/>
      <c r="K45" s="175" t="s">
        <v>9</v>
      </c>
      <c r="L45" s="175"/>
      <c r="M45" s="175" t="s">
        <v>9</v>
      </c>
      <c r="N45" s="175" t="s">
        <v>13</v>
      </c>
      <c r="O45" s="175" t="s">
        <v>10</v>
      </c>
      <c r="P45" s="175" t="s">
        <v>9</v>
      </c>
      <c r="Q45" s="175" t="s">
        <v>9</v>
      </c>
      <c r="R45" s="175" t="s">
        <v>9</v>
      </c>
      <c r="S45" s="175"/>
      <c r="T45" s="175" t="s">
        <v>9</v>
      </c>
      <c r="U45" s="175" t="s">
        <v>9</v>
      </c>
      <c r="V45" s="175" t="s">
        <v>9</v>
      </c>
      <c r="W45" s="175" t="s">
        <v>9</v>
      </c>
      <c r="X45" s="175" t="s">
        <v>9</v>
      </c>
      <c r="Y45" s="175" t="s">
        <v>9</v>
      </c>
      <c r="Z45" s="175"/>
      <c r="AA45" s="175" t="s">
        <v>11</v>
      </c>
      <c r="AB45" s="175" t="s">
        <v>9</v>
      </c>
      <c r="AC45" s="175" t="s">
        <v>9</v>
      </c>
      <c r="AD45" s="175" t="s">
        <v>9</v>
      </c>
      <c r="AE45" s="175" t="s">
        <v>9</v>
      </c>
      <c r="AF45" s="175" t="s">
        <v>9</v>
      </c>
      <c r="AG45" s="175"/>
      <c r="AH45" s="175" t="s">
        <v>9</v>
      </c>
      <c r="AI45" s="175" t="s">
        <v>10</v>
      </c>
      <c r="AJ45" s="175" t="s">
        <v>9</v>
      </c>
      <c r="AK45" s="175" t="s">
        <v>9</v>
      </c>
      <c r="AL45" s="172">
        <f t="shared" si="8"/>
        <v>21</v>
      </c>
      <c r="AM45" s="172">
        <f t="shared" si="9"/>
        <v>2</v>
      </c>
      <c r="AN45" s="172">
        <f t="shared" si="10"/>
        <v>1</v>
      </c>
      <c r="AO45" s="172">
        <f t="shared" si="11"/>
        <v>0</v>
      </c>
      <c r="AP45" s="172">
        <f t="shared" si="12"/>
        <v>1</v>
      </c>
      <c r="AQ45" s="172">
        <f t="shared" si="13"/>
        <v>0</v>
      </c>
      <c r="AR45" s="172">
        <f t="shared" si="14"/>
        <v>0</v>
      </c>
      <c r="AS45" s="176">
        <f t="shared" si="15"/>
        <v>0</v>
      </c>
      <c r="AT45" s="177"/>
    </row>
    <row r="46" spans="1:46" s="171" customFormat="1" ht="18" customHeight="1">
      <c r="A46" s="172">
        <v>40</v>
      </c>
      <c r="B46" s="173" t="s">
        <v>128</v>
      </c>
      <c r="C46" s="173" t="s">
        <v>129</v>
      </c>
      <c r="D46" s="174"/>
      <c r="E46" s="174" t="s">
        <v>77</v>
      </c>
      <c r="F46" s="192" t="s">
        <v>143</v>
      </c>
      <c r="G46" s="193"/>
      <c r="H46" s="175" t="s">
        <v>9</v>
      </c>
      <c r="I46" s="175" t="s">
        <v>9</v>
      </c>
      <c r="J46" s="175"/>
      <c r="K46" s="175" t="s">
        <v>9</v>
      </c>
      <c r="L46" s="175"/>
      <c r="M46" s="175" t="s">
        <v>9</v>
      </c>
      <c r="N46" s="175" t="s">
        <v>9</v>
      </c>
      <c r="O46" s="175" t="s">
        <v>9</v>
      </c>
      <c r="P46" s="175" t="s">
        <v>9</v>
      </c>
      <c r="Q46" s="175" t="s">
        <v>9</v>
      </c>
      <c r="R46" s="175" t="s">
        <v>9</v>
      </c>
      <c r="S46" s="175"/>
      <c r="T46" s="175" t="s">
        <v>9</v>
      </c>
      <c r="U46" s="175" t="s">
        <v>9</v>
      </c>
      <c r="V46" s="175" t="s">
        <v>9</v>
      </c>
      <c r="W46" s="175" t="s">
        <v>9</v>
      </c>
      <c r="X46" s="175" t="s">
        <v>9</v>
      </c>
      <c r="Y46" s="175" t="s">
        <v>9</v>
      </c>
      <c r="Z46" s="175"/>
      <c r="AA46" s="175" t="s">
        <v>9</v>
      </c>
      <c r="AB46" s="175" t="s">
        <v>9</v>
      </c>
      <c r="AC46" s="175" t="s">
        <v>9</v>
      </c>
      <c r="AD46" s="175" t="s">
        <v>9</v>
      </c>
      <c r="AE46" s="175" t="s">
        <v>9</v>
      </c>
      <c r="AF46" s="175" t="s">
        <v>9</v>
      </c>
      <c r="AG46" s="175"/>
      <c r="AH46" s="175" t="s">
        <v>9</v>
      </c>
      <c r="AI46" s="175" t="s">
        <v>9</v>
      </c>
      <c r="AJ46" s="175" t="s">
        <v>9</v>
      </c>
      <c r="AK46" s="175" t="s">
        <v>9</v>
      </c>
      <c r="AL46" s="172">
        <f t="shared" si="8"/>
        <v>25</v>
      </c>
      <c r="AM46" s="172">
        <f t="shared" si="9"/>
        <v>0</v>
      </c>
      <c r="AN46" s="172">
        <f t="shared" si="10"/>
        <v>0</v>
      </c>
      <c r="AO46" s="172">
        <f t="shared" si="11"/>
        <v>0</v>
      </c>
      <c r="AP46" s="172">
        <f t="shared" si="12"/>
        <v>0</v>
      </c>
      <c r="AQ46" s="172">
        <f t="shared" si="13"/>
        <v>0</v>
      </c>
      <c r="AR46" s="172">
        <f t="shared" si="14"/>
        <v>0</v>
      </c>
      <c r="AS46" s="176">
        <f t="shared" si="15"/>
        <v>0</v>
      </c>
      <c r="AT46" s="177"/>
    </row>
    <row r="47" spans="1:46" s="171" customFormat="1" ht="18" customHeight="1">
      <c r="A47" s="172">
        <v>41</v>
      </c>
      <c r="B47" s="173" t="s">
        <v>130</v>
      </c>
      <c r="C47" s="173" t="s">
        <v>131</v>
      </c>
      <c r="D47" s="174"/>
      <c r="E47" s="174" t="s">
        <v>77</v>
      </c>
      <c r="F47" s="192" t="s">
        <v>144</v>
      </c>
      <c r="G47" s="193"/>
      <c r="H47" s="175" t="s">
        <v>9</v>
      </c>
      <c r="I47" s="175" t="s">
        <v>9</v>
      </c>
      <c r="J47" s="175"/>
      <c r="K47" s="175" t="s">
        <v>9</v>
      </c>
      <c r="L47" s="175"/>
      <c r="M47" s="175" t="s">
        <v>9</v>
      </c>
      <c r="N47" s="175" t="s">
        <v>9</v>
      </c>
      <c r="O47" s="175" t="s">
        <v>9</v>
      </c>
      <c r="P47" s="175" t="s">
        <v>9</v>
      </c>
      <c r="Q47" s="175" t="s">
        <v>9</v>
      </c>
      <c r="R47" s="175" t="s">
        <v>9</v>
      </c>
      <c r="S47" s="175"/>
      <c r="T47" s="175" t="s">
        <v>9</v>
      </c>
      <c r="U47" s="175" t="s">
        <v>9</v>
      </c>
      <c r="V47" s="175" t="s">
        <v>9</v>
      </c>
      <c r="W47" s="175" t="s">
        <v>9</v>
      </c>
      <c r="X47" s="175" t="s">
        <v>9</v>
      </c>
      <c r="Y47" s="175" t="s">
        <v>9</v>
      </c>
      <c r="Z47" s="175"/>
      <c r="AA47" s="175" t="s">
        <v>9</v>
      </c>
      <c r="AB47" s="175" t="s">
        <v>9</v>
      </c>
      <c r="AC47" s="175" t="s">
        <v>9</v>
      </c>
      <c r="AD47" s="175" t="s">
        <v>9</v>
      </c>
      <c r="AE47" s="175" t="s">
        <v>9</v>
      </c>
      <c r="AF47" s="175" t="s">
        <v>9</v>
      </c>
      <c r="AG47" s="175"/>
      <c r="AH47" s="175" t="s">
        <v>9</v>
      </c>
      <c r="AI47" s="175" t="s">
        <v>9</v>
      </c>
      <c r="AJ47" s="175" t="s">
        <v>9</v>
      </c>
      <c r="AK47" s="175" t="s">
        <v>9</v>
      </c>
      <c r="AL47" s="172">
        <f t="shared" si="8"/>
        <v>25</v>
      </c>
      <c r="AM47" s="172">
        <f t="shared" si="9"/>
        <v>0</v>
      </c>
      <c r="AN47" s="172">
        <f t="shared" si="10"/>
        <v>0</v>
      </c>
      <c r="AO47" s="172">
        <f t="shared" si="11"/>
        <v>0</v>
      </c>
      <c r="AP47" s="172">
        <f t="shared" si="12"/>
        <v>0</v>
      </c>
      <c r="AQ47" s="172">
        <f t="shared" si="13"/>
        <v>0</v>
      </c>
      <c r="AR47" s="172">
        <f t="shared" si="14"/>
        <v>0</v>
      </c>
      <c r="AS47" s="176">
        <f t="shared" si="15"/>
        <v>0</v>
      </c>
      <c r="AT47" s="177"/>
    </row>
    <row r="48" spans="1:46" s="171" customFormat="1" ht="18" customHeight="1">
      <c r="A48" s="172">
        <v>42</v>
      </c>
      <c r="B48" s="173" t="s">
        <v>78</v>
      </c>
      <c r="C48" s="173" t="s">
        <v>132</v>
      </c>
      <c r="D48" s="174"/>
      <c r="E48" s="174" t="s">
        <v>77</v>
      </c>
      <c r="F48" s="192" t="s">
        <v>143</v>
      </c>
      <c r="G48" s="193"/>
      <c r="H48" s="175" t="s">
        <v>9</v>
      </c>
      <c r="I48" s="175" t="s">
        <v>9</v>
      </c>
      <c r="J48" s="175"/>
      <c r="K48" s="175" t="s">
        <v>9</v>
      </c>
      <c r="L48" s="175"/>
      <c r="M48" s="175" t="s">
        <v>9</v>
      </c>
      <c r="N48" s="175" t="s">
        <v>9</v>
      </c>
      <c r="O48" s="175" t="s">
        <v>9</v>
      </c>
      <c r="P48" s="175" t="s">
        <v>9</v>
      </c>
      <c r="Q48" s="175" t="s">
        <v>9</v>
      </c>
      <c r="R48" s="175" t="s">
        <v>9</v>
      </c>
      <c r="S48" s="175"/>
      <c r="T48" s="175" t="s">
        <v>9</v>
      </c>
      <c r="U48" s="175" t="s">
        <v>9</v>
      </c>
      <c r="V48" s="175" t="s">
        <v>9</v>
      </c>
      <c r="W48" s="175" t="s">
        <v>9</v>
      </c>
      <c r="X48" s="175" t="s">
        <v>9</v>
      </c>
      <c r="Y48" s="175" t="s">
        <v>9</v>
      </c>
      <c r="Z48" s="175"/>
      <c r="AA48" s="175" t="s">
        <v>9</v>
      </c>
      <c r="AB48" s="175" t="s">
        <v>9</v>
      </c>
      <c r="AC48" s="175" t="s">
        <v>9</v>
      </c>
      <c r="AD48" s="175" t="s">
        <v>9</v>
      </c>
      <c r="AE48" s="175" t="s">
        <v>9</v>
      </c>
      <c r="AF48" s="175" t="s">
        <v>9</v>
      </c>
      <c r="AG48" s="175"/>
      <c r="AH48" s="175" t="s">
        <v>9</v>
      </c>
      <c r="AI48" s="175" t="s">
        <v>9</v>
      </c>
      <c r="AJ48" s="175" t="s">
        <v>9</v>
      </c>
      <c r="AK48" s="175" t="s">
        <v>9</v>
      </c>
      <c r="AL48" s="172">
        <f t="shared" si="8"/>
        <v>25</v>
      </c>
      <c r="AM48" s="172">
        <f t="shared" si="9"/>
        <v>0</v>
      </c>
      <c r="AN48" s="172">
        <f t="shared" si="10"/>
        <v>0</v>
      </c>
      <c r="AO48" s="172">
        <f t="shared" si="11"/>
        <v>0</v>
      </c>
      <c r="AP48" s="172">
        <f t="shared" si="12"/>
        <v>0</v>
      </c>
      <c r="AQ48" s="172">
        <f t="shared" si="13"/>
        <v>0</v>
      </c>
      <c r="AR48" s="172">
        <f t="shared" si="14"/>
        <v>0</v>
      </c>
      <c r="AS48" s="176">
        <f t="shared" si="15"/>
        <v>0</v>
      </c>
      <c r="AT48" s="177"/>
    </row>
    <row r="49" spans="1:46" s="171" customFormat="1" ht="18" customHeight="1">
      <c r="A49" s="172">
        <v>43</v>
      </c>
      <c r="B49" s="173" t="s">
        <v>79</v>
      </c>
      <c r="C49" s="173" t="s">
        <v>167</v>
      </c>
      <c r="D49" s="172"/>
      <c r="E49" s="174" t="s">
        <v>77</v>
      </c>
      <c r="F49" s="192" t="s">
        <v>144</v>
      </c>
      <c r="G49" s="193"/>
      <c r="H49" s="175" t="s">
        <v>9</v>
      </c>
      <c r="I49" s="175" t="s">
        <v>9</v>
      </c>
      <c r="J49" s="175"/>
      <c r="K49" s="175" t="s">
        <v>9</v>
      </c>
      <c r="L49" s="175"/>
      <c r="M49" s="175" t="s">
        <v>9</v>
      </c>
      <c r="N49" s="175" t="s">
        <v>9</v>
      </c>
      <c r="O49" s="175" t="s">
        <v>9</v>
      </c>
      <c r="P49" s="175" t="s">
        <v>9</v>
      </c>
      <c r="Q49" s="175" t="s">
        <v>9</v>
      </c>
      <c r="R49" s="175" t="s">
        <v>9</v>
      </c>
      <c r="S49" s="175"/>
      <c r="T49" s="175" t="s">
        <v>9</v>
      </c>
      <c r="U49" s="175" t="s">
        <v>9</v>
      </c>
      <c r="V49" s="175" t="s">
        <v>9</v>
      </c>
      <c r="W49" s="175" t="s">
        <v>11</v>
      </c>
      <c r="X49" s="175" t="s">
        <v>9</v>
      </c>
      <c r="Y49" s="175" t="s">
        <v>9</v>
      </c>
      <c r="Z49" s="175"/>
      <c r="AA49" s="175" t="s">
        <v>9</v>
      </c>
      <c r="AB49" s="175" t="s">
        <v>9</v>
      </c>
      <c r="AC49" s="175" t="s">
        <v>11</v>
      </c>
      <c r="AD49" s="175" t="s">
        <v>9</v>
      </c>
      <c r="AE49" s="175" t="s">
        <v>9</v>
      </c>
      <c r="AF49" s="175" t="s">
        <v>9</v>
      </c>
      <c r="AG49" s="175"/>
      <c r="AH49" s="175" t="s">
        <v>9</v>
      </c>
      <c r="AI49" s="175" t="s">
        <v>9</v>
      </c>
      <c r="AJ49" s="175" t="s">
        <v>9</v>
      </c>
      <c r="AK49" s="175" t="s">
        <v>9</v>
      </c>
      <c r="AL49" s="172">
        <f t="shared" si="8"/>
        <v>23</v>
      </c>
      <c r="AM49" s="172">
        <f t="shared" si="9"/>
        <v>0</v>
      </c>
      <c r="AN49" s="172">
        <f t="shared" si="10"/>
        <v>2</v>
      </c>
      <c r="AO49" s="172">
        <f t="shared" si="11"/>
        <v>0</v>
      </c>
      <c r="AP49" s="172">
        <f t="shared" si="12"/>
        <v>0</v>
      </c>
      <c r="AQ49" s="172">
        <f t="shared" si="13"/>
        <v>0</v>
      </c>
      <c r="AR49" s="172">
        <f t="shared" si="14"/>
        <v>0</v>
      </c>
      <c r="AS49" s="176">
        <f t="shared" si="15"/>
        <v>0</v>
      </c>
      <c r="AT49" s="177"/>
    </row>
    <row r="50" spans="1:46" s="212" customFormat="1" ht="18" customHeight="1">
      <c r="A50" s="172">
        <v>44</v>
      </c>
      <c r="B50" s="173" t="s">
        <v>133</v>
      </c>
      <c r="C50" s="173" t="s">
        <v>134</v>
      </c>
      <c r="D50" s="172"/>
      <c r="E50" s="174" t="s">
        <v>77</v>
      </c>
      <c r="F50" s="192" t="s">
        <v>144</v>
      </c>
      <c r="G50" s="193"/>
      <c r="H50" s="175" t="s">
        <v>9</v>
      </c>
      <c r="I50" s="175" t="s">
        <v>9</v>
      </c>
      <c r="J50" s="175"/>
      <c r="K50" s="175" t="s">
        <v>9</v>
      </c>
      <c r="L50" s="175"/>
      <c r="M50" s="175" t="s">
        <v>9</v>
      </c>
      <c r="N50" s="175" t="s">
        <v>9</v>
      </c>
      <c r="O50" s="175" t="s">
        <v>9</v>
      </c>
      <c r="P50" s="175" t="s">
        <v>9</v>
      </c>
      <c r="Q50" s="175" t="s">
        <v>9</v>
      </c>
      <c r="R50" s="175" t="s">
        <v>9</v>
      </c>
      <c r="S50" s="175"/>
      <c r="T50" s="175" t="s">
        <v>9</v>
      </c>
      <c r="U50" s="175" t="s">
        <v>11</v>
      </c>
      <c r="V50" s="175" t="s">
        <v>11</v>
      </c>
      <c r="W50" s="175" t="s">
        <v>11</v>
      </c>
      <c r="X50" s="175" t="s">
        <v>11</v>
      </c>
      <c r="Y50" s="175" t="s">
        <v>11</v>
      </c>
      <c r="Z50" s="175"/>
      <c r="AA50" s="175" t="s">
        <v>11</v>
      </c>
      <c r="AB50" s="175" t="s">
        <v>11</v>
      </c>
      <c r="AC50" s="175" t="s">
        <v>11</v>
      </c>
      <c r="AD50" s="175" t="s">
        <v>11</v>
      </c>
      <c r="AE50" s="175" t="s">
        <v>11</v>
      </c>
      <c r="AF50" s="175" t="s">
        <v>11</v>
      </c>
      <c r="AG50" s="175"/>
      <c r="AH50" s="175" t="s">
        <v>9</v>
      </c>
      <c r="AI50" s="175" t="s">
        <v>9</v>
      </c>
      <c r="AJ50" s="175" t="s">
        <v>9</v>
      </c>
      <c r="AK50" s="175" t="s">
        <v>9</v>
      </c>
      <c r="AL50" s="172">
        <f t="shared" si="8"/>
        <v>14</v>
      </c>
      <c r="AM50" s="172">
        <f t="shared" si="9"/>
        <v>0</v>
      </c>
      <c r="AN50" s="172">
        <f t="shared" si="10"/>
        <v>11</v>
      </c>
      <c r="AO50" s="172">
        <f t="shared" si="11"/>
        <v>0</v>
      </c>
      <c r="AP50" s="172">
        <f t="shared" si="12"/>
        <v>0</v>
      </c>
      <c r="AQ50" s="172">
        <f t="shared" si="13"/>
        <v>0</v>
      </c>
      <c r="AR50" s="172">
        <f t="shared" si="14"/>
        <v>0</v>
      </c>
      <c r="AS50" s="176">
        <f t="shared" si="15"/>
        <v>0</v>
      </c>
      <c r="AT50" s="177"/>
    </row>
    <row r="51" spans="1:46" s="171" customFormat="1" ht="18" customHeight="1">
      <c r="A51" s="172">
        <v>45</v>
      </c>
      <c r="B51" s="173" t="s">
        <v>135</v>
      </c>
      <c r="C51" s="173" t="s">
        <v>136</v>
      </c>
      <c r="D51" s="172"/>
      <c r="E51" s="174" t="s">
        <v>77</v>
      </c>
      <c r="F51" s="194" t="s">
        <v>145</v>
      </c>
      <c r="G51" s="193"/>
      <c r="H51" s="175" t="s">
        <v>9</v>
      </c>
      <c r="I51" s="175" t="s">
        <v>9</v>
      </c>
      <c r="J51" s="175"/>
      <c r="K51" s="175" t="s">
        <v>9</v>
      </c>
      <c r="L51" s="175"/>
      <c r="M51" s="175" t="s">
        <v>9</v>
      </c>
      <c r="N51" s="175" t="s">
        <v>9</v>
      </c>
      <c r="O51" s="175" t="s">
        <v>9</v>
      </c>
      <c r="P51" s="175" t="s">
        <v>9</v>
      </c>
      <c r="Q51" s="175" t="s">
        <v>9</v>
      </c>
      <c r="R51" s="175" t="s">
        <v>9</v>
      </c>
      <c r="S51" s="175"/>
      <c r="T51" s="175" t="s">
        <v>9</v>
      </c>
      <c r="U51" s="175" t="s">
        <v>11</v>
      </c>
      <c r="V51" s="175" t="s">
        <v>9</v>
      </c>
      <c r="W51" s="175" t="s">
        <v>9</v>
      </c>
      <c r="X51" s="175" t="s">
        <v>9</v>
      </c>
      <c r="Y51" s="175" t="s">
        <v>9</v>
      </c>
      <c r="Z51" s="175"/>
      <c r="AA51" s="175" t="s">
        <v>9</v>
      </c>
      <c r="AB51" s="175" t="s">
        <v>9</v>
      </c>
      <c r="AC51" s="175" t="s">
        <v>10</v>
      </c>
      <c r="AD51" s="175" t="s">
        <v>9</v>
      </c>
      <c r="AE51" s="175" t="s">
        <v>9</v>
      </c>
      <c r="AF51" s="175" t="s">
        <v>9</v>
      </c>
      <c r="AG51" s="175"/>
      <c r="AH51" s="175" t="s">
        <v>9</v>
      </c>
      <c r="AI51" s="175" t="s">
        <v>9</v>
      </c>
      <c r="AJ51" s="175" t="s">
        <v>9</v>
      </c>
      <c r="AK51" s="175" t="s">
        <v>9</v>
      </c>
      <c r="AL51" s="172">
        <f t="shared" si="8"/>
        <v>23</v>
      </c>
      <c r="AM51" s="172">
        <f t="shared" si="9"/>
        <v>1</v>
      </c>
      <c r="AN51" s="172">
        <f t="shared" si="10"/>
        <v>1</v>
      </c>
      <c r="AO51" s="172">
        <f t="shared" si="11"/>
        <v>0</v>
      </c>
      <c r="AP51" s="172">
        <f t="shared" si="12"/>
        <v>0</v>
      </c>
      <c r="AQ51" s="172">
        <f t="shared" si="13"/>
        <v>0</v>
      </c>
      <c r="AR51" s="172">
        <f t="shared" si="14"/>
        <v>0</v>
      </c>
      <c r="AS51" s="176">
        <f t="shared" si="15"/>
        <v>0</v>
      </c>
      <c r="AT51" s="177"/>
    </row>
    <row r="52" spans="1:46" ht="18" customHeight="1">
      <c r="A52" s="85">
        <v>46</v>
      </c>
      <c r="B52" s="98" t="s">
        <v>109</v>
      </c>
      <c r="C52" s="81" t="s">
        <v>137</v>
      </c>
      <c r="D52" s="85"/>
      <c r="E52" s="86" t="s">
        <v>77</v>
      </c>
      <c r="F52" s="96" t="s">
        <v>145</v>
      </c>
      <c r="G52" s="97"/>
      <c r="H52" s="79" t="s">
        <v>9</v>
      </c>
      <c r="I52" s="79" t="s">
        <v>9</v>
      </c>
      <c r="J52" s="79"/>
      <c r="K52" s="79" t="s">
        <v>9</v>
      </c>
      <c r="L52" s="79"/>
      <c r="M52" s="79" t="s">
        <v>9</v>
      </c>
      <c r="N52" s="79" t="s">
        <v>9</v>
      </c>
      <c r="O52" s="79" t="s">
        <v>9</v>
      </c>
      <c r="P52" s="79" t="s">
        <v>9</v>
      </c>
      <c r="Q52" s="79" t="s">
        <v>9</v>
      </c>
      <c r="R52" s="79" t="s">
        <v>9</v>
      </c>
      <c r="S52" s="79"/>
      <c r="T52" s="79" t="s">
        <v>9</v>
      </c>
      <c r="U52" s="79" t="s">
        <v>9</v>
      </c>
      <c r="V52" s="79" t="s">
        <v>9</v>
      </c>
      <c r="W52" s="79" t="s">
        <v>9</v>
      </c>
      <c r="X52" s="79" t="s">
        <v>9</v>
      </c>
      <c r="Y52" s="79" t="s">
        <v>9</v>
      </c>
      <c r="Z52" s="79"/>
      <c r="AA52" s="79" t="s">
        <v>10</v>
      </c>
      <c r="AB52" s="79" t="s">
        <v>9</v>
      </c>
      <c r="AC52" s="79" t="s">
        <v>9</v>
      </c>
      <c r="AD52" s="79" t="s">
        <v>9</v>
      </c>
      <c r="AE52" s="79" t="s">
        <v>9</v>
      </c>
      <c r="AF52" s="79" t="s">
        <v>9</v>
      </c>
      <c r="AG52" s="79"/>
      <c r="AH52" s="79" t="s">
        <v>9</v>
      </c>
      <c r="AI52" s="79" t="s">
        <v>9</v>
      </c>
      <c r="AJ52" s="79" t="s">
        <v>9</v>
      </c>
      <c r="AK52" s="79" t="s">
        <v>9</v>
      </c>
      <c r="AL52" s="85">
        <f t="shared" si="8"/>
        <v>24</v>
      </c>
      <c r="AM52" s="85">
        <f t="shared" si="9"/>
        <v>1</v>
      </c>
      <c r="AN52" s="85">
        <f t="shared" si="10"/>
        <v>0</v>
      </c>
      <c r="AO52" s="85">
        <f t="shared" si="11"/>
        <v>0</v>
      </c>
      <c r="AP52" s="85">
        <f t="shared" si="12"/>
        <v>0</v>
      </c>
      <c r="AQ52" s="85">
        <f t="shared" si="13"/>
        <v>0</v>
      </c>
      <c r="AR52" s="85">
        <f t="shared" si="14"/>
        <v>0</v>
      </c>
      <c r="AS52" s="87">
        <f t="shared" si="15"/>
        <v>0</v>
      </c>
      <c r="AT52" s="84"/>
    </row>
    <row r="53" spans="1:46" s="171" customFormat="1" ht="18" customHeight="1">
      <c r="A53" s="172">
        <v>47</v>
      </c>
      <c r="B53" s="202" t="s">
        <v>82</v>
      </c>
      <c r="C53" s="173" t="s">
        <v>138</v>
      </c>
      <c r="D53" s="172"/>
      <c r="E53" s="174" t="s">
        <v>77</v>
      </c>
      <c r="F53" s="194" t="s">
        <v>145</v>
      </c>
      <c r="G53" s="196"/>
      <c r="H53" s="175" t="s">
        <v>9</v>
      </c>
      <c r="I53" s="175" t="s">
        <v>9</v>
      </c>
      <c r="J53" s="175"/>
      <c r="K53" s="175" t="s">
        <v>9</v>
      </c>
      <c r="L53" s="175"/>
      <c r="M53" s="175" t="s">
        <v>9</v>
      </c>
      <c r="N53" s="175" t="s">
        <v>9</v>
      </c>
      <c r="O53" s="175" t="s">
        <v>9</v>
      </c>
      <c r="P53" s="175" t="s">
        <v>9</v>
      </c>
      <c r="Q53" s="175" t="s">
        <v>9</v>
      </c>
      <c r="R53" s="175" t="s">
        <v>9</v>
      </c>
      <c r="S53" s="175"/>
      <c r="T53" s="175" t="s">
        <v>9</v>
      </c>
      <c r="U53" s="175" t="s">
        <v>9</v>
      </c>
      <c r="V53" s="175" t="s">
        <v>9</v>
      </c>
      <c r="W53" s="175" t="s">
        <v>9</v>
      </c>
      <c r="X53" s="175" t="s">
        <v>9</v>
      </c>
      <c r="Y53" s="175" t="s">
        <v>9</v>
      </c>
      <c r="Z53" s="175"/>
      <c r="AA53" s="175" t="s">
        <v>9</v>
      </c>
      <c r="AB53" s="175" t="s">
        <v>9</v>
      </c>
      <c r="AC53" s="175" t="s">
        <v>9</v>
      </c>
      <c r="AD53" s="175" t="s">
        <v>9</v>
      </c>
      <c r="AE53" s="175" t="s">
        <v>9</v>
      </c>
      <c r="AF53" s="175" t="s">
        <v>9</v>
      </c>
      <c r="AG53" s="175"/>
      <c r="AH53" s="175" t="s">
        <v>9</v>
      </c>
      <c r="AI53" s="175" t="s">
        <v>9</v>
      </c>
      <c r="AJ53" s="175" t="s">
        <v>9</v>
      </c>
      <c r="AK53" s="175" t="s">
        <v>9</v>
      </c>
      <c r="AL53" s="172">
        <f t="shared" si="8"/>
        <v>25</v>
      </c>
      <c r="AM53" s="172">
        <f t="shared" si="9"/>
        <v>0</v>
      </c>
      <c r="AN53" s="172">
        <f t="shared" si="10"/>
        <v>0</v>
      </c>
      <c r="AO53" s="172">
        <f t="shared" si="11"/>
        <v>0</v>
      </c>
      <c r="AP53" s="172">
        <f t="shared" si="12"/>
        <v>0</v>
      </c>
      <c r="AQ53" s="172">
        <f t="shared" si="13"/>
        <v>0</v>
      </c>
      <c r="AR53" s="172">
        <f t="shared" si="14"/>
        <v>0</v>
      </c>
      <c r="AS53" s="176">
        <f t="shared" si="15"/>
        <v>0</v>
      </c>
      <c r="AT53" s="177"/>
    </row>
    <row r="54" spans="1:46" ht="18" customHeight="1">
      <c r="A54" s="85">
        <v>48</v>
      </c>
      <c r="B54" s="81" t="s">
        <v>83</v>
      </c>
      <c r="C54" s="81" t="s">
        <v>139</v>
      </c>
      <c r="D54" s="157"/>
      <c r="E54" s="99" t="s">
        <v>77</v>
      </c>
      <c r="F54" s="96" t="s">
        <v>145</v>
      </c>
      <c r="G54" s="97"/>
      <c r="H54" s="79" t="s">
        <v>9</v>
      </c>
      <c r="I54" s="79" t="s">
        <v>9</v>
      </c>
      <c r="J54" s="79"/>
      <c r="K54" s="79" t="s">
        <v>9</v>
      </c>
      <c r="L54" s="79"/>
      <c r="M54" s="79" t="s">
        <v>9</v>
      </c>
      <c r="N54" s="79" t="s">
        <v>9</v>
      </c>
      <c r="O54" s="79" t="s">
        <v>9</v>
      </c>
      <c r="P54" s="79" t="s">
        <v>9</v>
      </c>
      <c r="Q54" s="79" t="s">
        <v>9</v>
      </c>
      <c r="R54" s="79" t="s">
        <v>9</v>
      </c>
      <c r="S54" s="79"/>
      <c r="T54" s="79" t="s">
        <v>9</v>
      </c>
      <c r="U54" s="79" t="s">
        <v>9</v>
      </c>
      <c r="V54" s="79" t="s">
        <v>9</v>
      </c>
      <c r="W54" s="79" t="s">
        <v>9</v>
      </c>
      <c r="X54" s="79" t="s">
        <v>9</v>
      </c>
      <c r="Y54" s="79" t="s">
        <v>10</v>
      </c>
      <c r="Z54" s="79"/>
      <c r="AA54" s="79" t="s">
        <v>9</v>
      </c>
      <c r="AB54" s="79" t="s">
        <v>9</v>
      </c>
      <c r="AC54" s="79" t="s">
        <v>9</v>
      </c>
      <c r="AD54" s="79" t="s">
        <v>9</v>
      </c>
      <c r="AE54" s="79" t="s">
        <v>9</v>
      </c>
      <c r="AF54" s="79" t="s">
        <v>9</v>
      </c>
      <c r="AG54" s="79"/>
      <c r="AH54" s="79" t="s">
        <v>9</v>
      </c>
      <c r="AI54" s="79" t="s">
        <v>9</v>
      </c>
      <c r="AJ54" s="79" t="s">
        <v>9</v>
      </c>
      <c r="AK54" s="79" t="s">
        <v>9</v>
      </c>
      <c r="AL54" s="85">
        <f t="shared" si="8"/>
        <v>24</v>
      </c>
      <c r="AM54" s="85">
        <f t="shared" si="9"/>
        <v>1</v>
      </c>
      <c r="AN54" s="85">
        <f t="shared" si="10"/>
        <v>0</v>
      </c>
      <c r="AO54" s="85">
        <f t="shared" si="11"/>
        <v>0</v>
      </c>
      <c r="AP54" s="85">
        <f t="shared" si="12"/>
        <v>0</v>
      </c>
      <c r="AQ54" s="85">
        <f t="shared" si="13"/>
        <v>0</v>
      </c>
      <c r="AR54" s="85">
        <f t="shared" si="14"/>
        <v>0</v>
      </c>
      <c r="AS54" s="87">
        <f t="shared" si="15"/>
        <v>0</v>
      </c>
      <c r="AT54" s="84"/>
    </row>
    <row r="55" spans="1:46" s="171" customFormat="1" ht="18" customHeight="1">
      <c r="A55" s="172">
        <v>49</v>
      </c>
      <c r="B55" s="173" t="s">
        <v>141</v>
      </c>
      <c r="C55" s="172" t="s">
        <v>140</v>
      </c>
      <c r="D55" s="172" t="s">
        <v>100</v>
      </c>
      <c r="E55" s="174" t="s">
        <v>77</v>
      </c>
      <c r="F55" s="194" t="s">
        <v>102</v>
      </c>
      <c r="G55" s="196"/>
      <c r="H55" s="175" t="s">
        <v>9</v>
      </c>
      <c r="I55" s="175" t="s">
        <v>9</v>
      </c>
      <c r="J55" s="175"/>
      <c r="K55" s="175" t="s">
        <v>9</v>
      </c>
      <c r="L55" s="175"/>
      <c r="M55" s="175" t="s">
        <v>9</v>
      </c>
      <c r="N55" s="175" t="s">
        <v>9</v>
      </c>
      <c r="O55" s="175" t="s">
        <v>9</v>
      </c>
      <c r="P55" s="175" t="s">
        <v>9</v>
      </c>
      <c r="Q55" s="175" t="s">
        <v>9</v>
      </c>
      <c r="R55" s="175" t="s">
        <v>9</v>
      </c>
      <c r="S55" s="175"/>
      <c r="T55" s="175" t="s">
        <v>9</v>
      </c>
      <c r="U55" s="175" t="s">
        <v>9</v>
      </c>
      <c r="V55" s="175" t="s">
        <v>9</v>
      </c>
      <c r="W55" s="175" t="s">
        <v>9</v>
      </c>
      <c r="X55" s="175" t="s">
        <v>9</v>
      </c>
      <c r="Y55" s="175" t="s">
        <v>9</v>
      </c>
      <c r="Z55" s="175"/>
      <c r="AA55" s="175" t="s">
        <v>9</v>
      </c>
      <c r="AB55" s="175" t="s">
        <v>9</v>
      </c>
      <c r="AC55" s="175" t="s">
        <v>9</v>
      </c>
      <c r="AD55" s="175" t="s">
        <v>9</v>
      </c>
      <c r="AE55" s="175" t="s">
        <v>9</v>
      </c>
      <c r="AF55" s="175" t="s">
        <v>9</v>
      </c>
      <c r="AG55" s="175"/>
      <c r="AH55" s="175" t="s">
        <v>9</v>
      </c>
      <c r="AI55" s="175" t="s">
        <v>9</v>
      </c>
      <c r="AJ55" s="175" t="s">
        <v>9</v>
      </c>
      <c r="AK55" s="175" t="s">
        <v>9</v>
      </c>
      <c r="AL55" s="172">
        <f t="shared" si="8"/>
        <v>25</v>
      </c>
      <c r="AM55" s="172">
        <f t="shared" si="9"/>
        <v>0</v>
      </c>
      <c r="AN55" s="172">
        <f t="shared" si="10"/>
        <v>0</v>
      </c>
      <c r="AO55" s="172">
        <f t="shared" si="11"/>
        <v>0</v>
      </c>
      <c r="AP55" s="172">
        <f t="shared" si="12"/>
        <v>0</v>
      </c>
      <c r="AQ55" s="172">
        <f t="shared" si="13"/>
        <v>0</v>
      </c>
      <c r="AR55" s="172">
        <f t="shared" si="14"/>
        <v>0</v>
      </c>
      <c r="AS55" s="176">
        <f t="shared" si="15"/>
        <v>0</v>
      </c>
      <c r="AT55" s="177"/>
    </row>
    <row r="56" spans="1:46" ht="18" customHeight="1">
      <c r="A56" s="85">
        <v>50</v>
      </c>
      <c r="B56" s="81" t="s">
        <v>175</v>
      </c>
      <c r="C56" s="85" t="s">
        <v>140</v>
      </c>
      <c r="D56" s="85" t="s">
        <v>100</v>
      </c>
      <c r="E56" s="101" t="s">
        <v>77</v>
      </c>
      <c r="F56" s="95" t="s">
        <v>103</v>
      </c>
      <c r="G56" s="97"/>
      <c r="H56" s="79" t="s">
        <v>9</v>
      </c>
      <c r="I56" s="79" t="s">
        <v>9</v>
      </c>
      <c r="J56" s="79"/>
      <c r="K56" s="79" t="s">
        <v>9</v>
      </c>
      <c r="L56" s="79"/>
      <c r="M56" s="79" t="s">
        <v>9</v>
      </c>
      <c r="N56" s="79" t="s">
        <v>9</v>
      </c>
      <c r="O56" s="79" t="s">
        <v>9</v>
      </c>
      <c r="P56" s="79" t="s">
        <v>9</v>
      </c>
      <c r="Q56" s="79" t="s">
        <v>9</v>
      </c>
      <c r="R56" s="79" t="s">
        <v>9</v>
      </c>
      <c r="S56" s="79"/>
      <c r="T56" s="79" t="s">
        <v>9</v>
      </c>
      <c r="U56" s="79" t="s">
        <v>9</v>
      </c>
      <c r="V56" s="79" t="s">
        <v>9</v>
      </c>
      <c r="W56" s="79" t="s">
        <v>9</v>
      </c>
      <c r="X56" s="79" t="s">
        <v>9</v>
      </c>
      <c r="Y56" s="79" t="s">
        <v>9</v>
      </c>
      <c r="Z56" s="79"/>
      <c r="AA56" s="79" t="s">
        <v>9</v>
      </c>
      <c r="AB56" s="79" t="s">
        <v>9</v>
      </c>
      <c r="AC56" s="79" t="s">
        <v>10</v>
      </c>
      <c r="AD56" s="79" t="s">
        <v>9</v>
      </c>
      <c r="AE56" s="79" t="s">
        <v>9</v>
      </c>
      <c r="AF56" s="79" t="s">
        <v>9</v>
      </c>
      <c r="AG56" s="79"/>
      <c r="AH56" s="79" t="s">
        <v>9</v>
      </c>
      <c r="AI56" s="79" t="s">
        <v>9</v>
      </c>
      <c r="AJ56" s="79" t="s">
        <v>9</v>
      </c>
      <c r="AK56" s="79" t="s">
        <v>9</v>
      </c>
      <c r="AL56" s="85">
        <f t="shared" si="8"/>
        <v>24</v>
      </c>
      <c r="AM56" s="85">
        <f t="shared" si="9"/>
        <v>1</v>
      </c>
      <c r="AN56" s="85">
        <f t="shared" si="10"/>
        <v>0</v>
      </c>
      <c r="AO56" s="85">
        <f t="shared" si="11"/>
        <v>0</v>
      </c>
      <c r="AP56" s="85">
        <f t="shared" si="12"/>
        <v>0</v>
      </c>
      <c r="AQ56" s="85">
        <f t="shared" si="13"/>
        <v>0</v>
      </c>
      <c r="AR56" s="85">
        <f t="shared" si="14"/>
        <v>0</v>
      </c>
      <c r="AS56" s="87">
        <f t="shared" si="15"/>
        <v>0</v>
      </c>
      <c r="AT56" s="100"/>
    </row>
    <row r="57" spans="1:46" ht="20.65" customHeight="1">
      <c r="A57" s="102"/>
      <c r="B57" s="103"/>
      <c r="C57" s="104"/>
      <c r="D57" s="105"/>
      <c r="E57" s="102"/>
      <c r="F57" s="105"/>
      <c r="G57" s="105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102"/>
      <c r="AH57" s="102"/>
      <c r="AI57" s="102"/>
      <c r="AJ57" s="102"/>
      <c r="AK57" s="102"/>
      <c r="AL57" s="216" t="s">
        <v>180</v>
      </c>
      <c r="AM57" s="216"/>
      <c r="AN57" s="216"/>
      <c r="AO57" s="216"/>
      <c r="AP57" s="216"/>
      <c r="AQ57" s="216"/>
      <c r="AR57" s="216"/>
      <c r="AS57" s="216"/>
      <c r="AT57" s="102"/>
    </row>
    <row r="58" spans="1:46" ht="20.65" customHeight="1">
      <c r="A58" s="102"/>
      <c r="B58" s="102"/>
      <c r="C58" s="102"/>
      <c r="D58" s="105"/>
      <c r="E58" s="102"/>
      <c r="F58" s="105" t="s">
        <v>84</v>
      </c>
      <c r="G58" s="105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213" t="s">
        <v>104</v>
      </c>
      <c r="AM58" s="213"/>
      <c r="AN58" s="213"/>
      <c r="AO58" s="213"/>
      <c r="AP58" s="213"/>
      <c r="AQ58" s="213"/>
      <c r="AR58" s="213"/>
      <c r="AS58" s="213"/>
      <c r="AT58" s="102"/>
    </row>
    <row r="59" spans="1:46" ht="20.65" customHeight="1">
      <c r="A59" s="102"/>
      <c r="B59" s="102"/>
      <c r="C59" s="102"/>
      <c r="D59" s="105"/>
      <c r="E59" s="102"/>
      <c r="F59" s="105"/>
      <c r="G59" s="105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102"/>
      <c r="AH59" s="102"/>
      <c r="AI59" s="102"/>
      <c r="AJ59" s="102"/>
      <c r="AK59" s="102"/>
      <c r="AL59" s="162"/>
      <c r="AM59" s="162"/>
      <c r="AN59" s="162"/>
      <c r="AO59" s="162"/>
      <c r="AP59" s="105"/>
      <c r="AQ59" s="105"/>
      <c r="AR59" s="102"/>
      <c r="AS59" s="102"/>
      <c r="AT59" s="102"/>
    </row>
    <row r="60" spans="1:46" ht="20.65" customHeight="1">
      <c r="A60" s="102"/>
      <c r="B60" s="102"/>
      <c r="C60" s="102"/>
      <c r="D60" s="105"/>
      <c r="E60" s="102"/>
      <c r="F60" s="105"/>
      <c r="G60" s="105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62"/>
      <c r="AM60" s="162"/>
      <c r="AN60" s="162"/>
      <c r="AO60" s="162"/>
      <c r="AP60" s="105"/>
      <c r="AQ60" s="105"/>
      <c r="AR60" s="102"/>
      <c r="AS60" s="102"/>
      <c r="AT60" s="102"/>
    </row>
    <row r="61" spans="1:46" ht="20.65" customHeight="1">
      <c r="A61" s="102"/>
      <c r="B61" s="102"/>
      <c r="C61" s="102"/>
      <c r="D61" s="105"/>
      <c r="E61" s="102"/>
      <c r="F61" s="105"/>
      <c r="G61" s="105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62"/>
      <c r="AM61" s="162"/>
      <c r="AN61" s="162"/>
      <c r="AO61" s="162"/>
      <c r="AP61" s="105"/>
      <c r="AQ61" s="105"/>
      <c r="AR61" s="102"/>
      <c r="AS61" s="102"/>
      <c r="AT61" s="102"/>
    </row>
    <row r="62" spans="1:46" ht="20.65" customHeight="1">
      <c r="A62" s="102"/>
      <c r="B62" s="102"/>
      <c r="C62" s="102"/>
      <c r="D62" s="105"/>
      <c r="E62" s="102"/>
      <c r="F62" s="106" t="s">
        <v>122</v>
      </c>
      <c r="G62" s="106"/>
      <c r="H62" s="102"/>
      <c r="I62" s="102"/>
      <c r="J62" s="102"/>
      <c r="K62" s="102"/>
      <c r="L62" s="102"/>
      <c r="M62" s="102"/>
      <c r="N62" s="102"/>
      <c r="O62" s="267"/>
      <c r="P62" s="267"/>
      <c r="Q62" s="267"/>
      <c r="R62" s="267"/>
      <c r="S62" s="267"/>
      <c r="T62" s="267"/>
      <c r="U62" s="267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216" t="s">
        <v>110</v>
      </c>
      <c r="AM62" s="216"/>
      <c r="AN62" s="216"/>
      <c r="AO62" s="216"/>
      <c r="AP62" s="216"/>
      <c r="AQ62" s="216"/>
      <c r="AR62" s="216"/>
      <c r="AS62" s="216"/>
      <c r="AT62" s="102"/>
    </row>
    <row r="63" spans="1:46" ht="20.65" customHeight="1">
      <c r="A63" s="102"/>
      <c r="B63" s="102"/>
      <c r="C63" s="102"/>
      <c r="D63" s="105"/>
      <c r="E63" s="102"/>
      <c r="F63" s="107" t="s">
        <v>146</v>
      </c>
      <c r="G63" s="107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8" t="s">
        <v>147</v>
      </c>
      <c r="AM63" s="162"/>
      <c r="AN63" s="162"/>
      <c r="AO63" s="109"/>
      <c r="AP63" s="105"/>
      <c r="AQ63" s="105"/>
      <c r="AR63" s="102"/>
      <c r="AS63" s="102"/>
      <c r="AT63" s="102"/>
    </row>
    <row r="64" spans="1:46" ht="29.25" customHeight="1">
      <c r="B64" s="222" t="s">
        <v>179</v>
      </c>
      <c r="C64" s="223"/>
      <c r="D64" s="222"/>
      <c r="E64" s="222"/>
      <c r="F64" s="222"/>
      <c r="G64" s="222"/>
      <c r="H64" s="222"/>
      <c r="I64" s="222"/>
      <c r="J64" s="222"/>
      <c r="K64" s="222"/>
      <c r="L64" s="222"/>
      <c r="M64" s="222"/>
      <c r="N64" s="222"/>
      <c r="O64" s="222"/>
      <c r="P64" s="222"/>
      <c r="Q64" s="222"/>
      <c r="R64" s="222"/>
      <c r="S64" s="222"/>
      <c r="T64" s="222"/>
      <c r="U64" s="222"/>
      <c r="V64" s="222"/>
      <c r="W64" s="222"/>
      <c r="X64" s="222"/>
      <c r="Y64" s="222"/>
      <c r="Z64" s="222"/>
      <c r="AA64" s="222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222"/>
      <c r="AP64" s="222"/>
      <c r="AQ64" s="222"/>
      <c r="AR64" s="222"/>
      <c r="AS64" s="222"/>
      <c r="AT64" s="222"/>
    </row>
    <row r="65" spans="1:46" ht="29.25" customHeight="1">
      <c r="B65" s="222" t="s">
        <v>0</v>
      </c>
      <c r="C65" s="223"/>
      <c r="D65" s="222"/>
      <c r="E65" s="222"/>
      <c r="F65" s="222"/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2"/>
      <c r="R65" s="222"/>
      <c r="S65" s="222"/>
      <c r="T65" s="222"/>
      <c r="U65" s="222"/>
      <c r="V65" s="222"/>
      <c r="W65" s="222"/>
      <c r="X65" s="222"/>
      <c r="Y65" s="222"/>
      <c r="Z65" s="222"/>
      <c r="AA65" s="222"/>
      <c r="AB65" s="222"/>
      <c r="AC65" s="222"/>
      <c r="AD65" s="222"/>
      <c r="AE65" s="222"/>
      <c r="AF65" s="222"/>
      <c r="AG65" s="222"/>
      <c r="AH65" s="222"/>
      <c r="AI65" s="222"/>
      <c r="AJ65" s="222"/>
      <c r="AK65" s="222"/>
      <c r="AL65" s="222"/>
      <c r="AM65" s="222"/>
      <c r="AN65" s="222"/>
      <c r="AO65" s="222"/>
      <c r="AP65" s="222"/>
      <c r="AQ65" s="222"/>
      <c r="AR65" s="222"/>
      <c r="AS65" s="222"/>
      <c r="AT65" s="222"/>
    </row>
    <row r="66" spans="1:46" ht="29.25" customHeight="1" thickBot="1">
      <c r="B66" s="222" t="s">
        <v>187</v>
      </c>
      <c r="C66" s="223"/>
      <c r="D66" s="222"/>
      <c r="E66" s="222"/>
      <c r="F66" s="222"/>
      <c r="G66" s="222"/>
      <c r="H66" s="222"/>
      <c r="I66" s="222"/>
      <c r="J66" s="222"/>
      <c r="K66" s="222"/>
      <c r="L66" s="222"/>
      <c r="M66" s="222"/>
      <c r="N66" s="222"/>
      <c r="O66" s="222"/>
      <c r="P66" s="222"/>
      <c r="Q66" s="222"/>
      <c r="R66" s="222"/>
      <c r="S66" s="222"/>
      <c r="T66" s="222"/>
      <c r="U66" s="222"/>
      <c r="V66" s="222"/>
      <c r="W66" s="222"/>
      <c r="X66" s="222"/>
      <c r="Y66" s="222"/>
      <c r="Z66" s="222"/>
      <c r="AA66" s="222"/>
      <c r="AB66" s="222"/>
      <c r="AC66" s="222"/>
      <c r="AD66" s="222"/>
      <c r="AE66" s="222"/>
      <c r="AF66" s="222"/>
      <c r="AG66" s="222"/>
      <c r="AH66" s="222"/>
      <c r="AI66" s="222"/>
      <c r="AJ66" s="222"/>
      <c r="AK66" s="222"/>
      <c r="AL66" s="222"/>
      <c r="AM66" s="222"/>
      <c r="AN66" s="222"/>
      <c r="AO66" s="222"/>
      <c r="AP66" s="222"/>
      <c r="AQ66" s="222"/>
      <c r="AR66" s="222"/>
      <c r="AS66" s="222"/>
      <c r="AT66" s="222"/>
    </row>
    <row r="67" spans="1:46" ht="20.65" customHeight="1">
      <c r="A67" s="252" t="s">
        <v>1</v>
      </c>
      <c r="B67" s="255" t="s">
        <v>2</v>
      </c>
      <c r="C67" s="256"/>
      <c r="D67" s="138" t="s">
        <v>3</v>
      </c>
      <c r="E67" s="169" t="s">
        <v>4</v>
      </c>
      <c r="F67" s="169" t="s">
        <v>5</v>
      </c>
      <c r="G67" s="169"/>
      <c r="H67" s="259">
        <v>46113</v>
      </c>
      <c r="I67" s="259"/>
      <c r="J67" s="259"/>
      <c r="K67" s="259"/>
      <c r="L67" s="260"/>
      <c r="M67" s="260"/>
      <c r="N67" s="260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B67" s="260"/>
      <c r="AC67" s="260"/>
      <c r="AD67" s="260"/>
      <c r="AE67" s="260"/>
      <c r="AF67" s="260"/>
      <c r="AG67" s="260"/>
      <c r="AH67" s="260"/>
      <c r="AI67" s="260"/>
      <c r="AJ67" s="260"/>
      <c r="AK67" s="260"/>
      <c r="AL67" s="261" t="s">
        <v>85</v>
      </c>
      <c r="AM67" s="262"/>
      <c r="AN67" s="262"/>
      <c r="AO67" s="262"/>
      <c r="AP67" s="262"/>
      <c r="AQ67" s="262"/>
      <c r="AR67" s="262"/>
      <c r="AS67" s="263"/>
      <c r="AT67" s="142" t="s">
        <v>7</v>
      </c>
    </row>
    <row r="68" spans="1:46" ht="20.65" customHeight="1">
      <c r="A68" s="266"/>
      <c r="B68" s="257"/>
      <c r="C68" s="258"/>
      <c r="D68" s="20" t="s">
        <v>8</v>
      </c>
      <c r="E68" s="170"/>
      <c r="F68" s="170"/>
      <c r="G68" s="170"/>
      <c r="H68" s="170">
        <v>1</v>
      </c>
      <c r="I68" s="170">
        <v>2</v>
      </c>
      <c r="J68" s="139">
        <v>3</v>
      </c>
      <c r="K68" s="170">
        <v>4</v>
      </c>
      <c r="L68" s="139">
        <v>5</v>
      </c>
      <c r="M68" s="170">
        <v>6</v>
      </c>
      <c r="N68" s="170">
        <v>7</v>
      </c>
      <c r="O68" s="170">
        <v>8</v>
      </c>
      <c r="P68" s="170">
        <v>9</v>
      </c>
      <c r="Q68" s="170">
        <v>10</v>
      </c>
      <c r="R68" s="170">
        <v>11</v>
      </c>
      <c r="S68" s="139">
        <v>12</v>
      </c>
      <c r="T68" s="170">
        <v>13</v>
      </c>
      <c r="U68" s="170">
        <v>14</v>
      </c>
      <c r="V68" s="170">
        <v>15</v>
      </c>
      <c r="W68" s="170">
        <v>16</v>
      </c>
      <c r="X68" s="170">
        <v>17</v>
      </c>
      <c r="Y68" s="170">
        <v>18</v>
      </c>
      <c r="Z68" s="139">
        <v>19</v>
      </c>
      <c r="AA68" s="170">
        <v>20</v>
      </c>
      <c r="AB68" s="170">
        <v>21</v>
      </c>
      <c r="AC68" s="170">
        <v>22</v>
      </c>
      <c r="AD68" s="170">
        <v>23</v>
      </c>
      <c r="AE68" s="170">
        <v>24</v>
      </c>
      <c r="AF68" s="170">
        <v>25</v>
      </c>
      <c r="AG68" s="139">
        <v>26</v>
      </c>
      <c r="AH68" s="170">
        <v>27</v>
      </c>
      <c r="AI68" s="170">
        <v>28</v>
      </c>
      <c r="AJ68" s="170">
        <v>29</v>
      </c>
      <c r="AK68" s="170">
        <v>30</v>
      </c>
      <c r="AL68" s="18" t="s">
        <v>9</v>
      </c>
      <c r="AM68" s="19" t="s">
        <v>10</v>
      </c>
      <c r="AN68" s="20" t="s">
        <v>11</v>
      </c>
      <c r="AO68" s="20" t="s">
        <v>12</v>
      </c>
      <c r="AP68" s="20" t="s">
        <v>14</v>
      </c>
      <c r="AQ68" s="20" t="s">
        <v>13</v>
      </c>
      <c r="AR68" s="20" t="s">
        <v>15</v>
      </c>
      <c r="AS68" s="21" t="s">
        <v>16</v>
      </c>
      <c r="AT68" s="143"/>
    </row>
    <row r="69" spans="1:46" ht="20.65" customHeight="1" thickBot="1">
      <c r="A69" s="144"/>
      <c r="B69" s="264" t="s">
        <v>86</v>
      </c>
      <c r="C69" s="265"/>
      <c r="D69" s="140">
        <v>3</v>
      </c>
      <c r="E69" s="140">
        <v>4</v>
      </c>
      <c r="F69" s="140">
        <v>5</v>
      </c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5"/>
      <c r="AM69" s="168"/>
      <c r="AN69" s="140"/>
      <c r="AO69" s="140"/>
      <c r="AP69" s="140"/>
      <c r="AQ69" s="140"/>
      <c r="AR69" s="140"/>
      <c r="AS69" s="146"/>
      <c r="AT69" s="147"/>
    </row>
    <row r="70" spans="1:46" ht="42.75" customHeight="1">
      <c r="A70" s="79">
        <v>1</v>
      </c>
      <c r="B70" s="178" t="s">
        <v>122</v>
      </c>
      <c r="C70" s="80" t="s">
        <v>123</v>
      </c>
      <c r="D70" s="85" t="s">
        <v>162</v>
      </c>
      <c r="E70" s="82" t="s">
        <v>19</v>
      </c>
      <c r="F70" s="81" t="s">
        <v>124</v>
      </c>
      <c r="G70" s="79"/>
      <c r="H70" s="79" t="s">
        <v>9</v>
      </c>
      <c r="I70" s="79" t="s">
        <v>9</v>
      </c>
      <c r="J70" s="79"/>
      <c r="K70" s="79" t="s">
        <v>9</v>
      </c>
      <c r="L70" s="79"/>
      <c r="M70" s="79" t="s">
        <v>9</v>
      </c>
      <c r="N70" s="79" t="s">
        <v>9</v>
      </c>
      <c r="O70" s="79" t="s">
        <v>9</v>
      </c>
      <c r="P70" s="79" t="s">
        <v>9</v>
      </c>
      <c r="Q70" s="79" t="s">
        <v>9</v>
      </c>
      <c r="R70" s="79" t="s">
        <v>9</v>
      </c>
      <c r="S70" s="79"/>
      <c r="T70" s="79" t="s">
        <v>9</v>
      </c>
      <c r="U70" s="79" t="s">
        <v>9</v>
      </c>
      <c r="V70" s="79" t="s">
        <v>9</v>
      </c>
      <c r="W70" s="79" t="s">
        <v>9</v>
      </c>
      <c r="X70" s="79" t="s">
        <v>9</v>
      </c>
      <c r="Y70" s="79" t="s">
        <v>9</v>
      </c>
      <c r="Z70" s="79"/>
      <c r="AA70" s="79" t="s">
        <v>9</v>
      </c>
      <c r="AB70" s="79" t="s">
        <v>9</v>
      </c>
      <c r="AC70" s="79" t="s">
        <v>9</v>
      </c>
      <c r="AD70" s="79" t="s">
        <v>9</v>
      </c>
      <c r="AE70" s="79" t="s">
        <v>9</v>
      </c>
      <c r="AF70" s="79" t="s">
        <v>9</v>
      </c>
      <c r="AG70" s="79"/>
      <c r="AH70" s="79" t="s">
        <v>9</v>
      </c>
      <c r="AI70" s="79" t="s">
        <v>9</v>
      </c>
      <c r="AJ70" s="79" t="s">
        <v>9</v>
      </c>
      <c r="AK70" s="79" t="s">
        <v>9</v>
      </c>
      <c r="AL70" s="79">
        <f t="shared" ref="AL70:AL101" si="16">COUNTIF(H70:AK70,"H")</f>
        <v>25</v>
      </c>
      <c r="AM70" s="79">
        <f t="shared" ref="AM70:AM101" si="17">COUNTIF(H70:AK70,"S")</f>
        <v>0</v>
      </c>
      <c r="AN70" s="79">
        <f t="shared" ref="AN70:AN101" si="18">COUNTIF(H70:AK70,"I")</f>
        <v>0</v>
      </c>
      <c r="AO70" s="79">
        <f t="shared" ref="AO70:AO101" si="19">COUNTIF(H70:AK70,"C")</f>
        <v>0</v>
      </c>
      <c r="AP70" s="79">
        <f t="shared" ref="AP70:AP107" si="20">COUNTIF(H70:AK70,"CB")</f>
        <v>0</v>
      </c>
      <c r="AQ70" s="79">
        <f t="shared" ref="AQ70:AQ107" si="21">COUNTIF(H70:AK70,"DL")</f>
        <v>0</v>
      </c>
      <c r="AR70" s="79">
        <f t="shared" ref="AR70:AR101" si="22">COUNTIF(H70:AK70,"IB")</f>
        <v>0</v>
      </c>
      <c r="AS70" s="83">
        <f t="shared" ref="AS70:AS101" si="23">COUNTIF(H70:AK70,"TK")</f>
        <v>0</v>
      </c>
      <c r="AT70" s="84"/>
    </row>
    <row r="71" spans="1:46" ht="42.75" customHeight="1">
      <c r="A71" s="85">
        <v>2</v>
      </c>
      <c r="B71" s="179" t="s">
        <v>96</v>
      </c>
      <c r="C71" s="81" t="s">
        <v>20</v>
      </c>
      <c r="D71" s="85" t="s">
        <v>36</v>
      </c>
      <c r="E71" s="86" t="s">
        <v>19</v>
      </c>
      <c r="F71" s="81" t="s">
        <v>21</v>
      </c>
      <c r="G71" s="79"/>
      <c r="H71" s="79" t="s">
        <v>9</v>
      </c>
      <c r="I71" s="79" t="s">
        <v>9</v>
      </c>
      <c r="J71" s="79"/>
      <c r="K71" s="79" t="s">
        <v>11</v>
      </c>
      <c r="L71" s="79"/>
      <c r="M71" s="79" t="s">
        <v>9</v>
      </c>
      <c r="N71" s="79" t="s">
        <v>9</v>
      </c>
      <c r="O71" s="79" t="s">
        <v>9</v>
      </c>
      <c r="P71" s="79" t="s">
        <v>9</v>
      </c>
      <c r="Q71" s="79" t="s">
        <v>9</v>
      </c>
      <c r="R71" s="79" t="s">
        <v>9</v>
      </c>
      <c r="S71" s="79"/>
      <c r="T71" s="79" t="s">
        <v>9</v>
      </c>
      <c r="U71" s="79" t="s">
        <v>9</v>
      </c>
      <c r="V71" s="79" t="s">
        <v>9</v>
      </c>
      <c r="W71" s="79" t="s">
        <v>9</v>
      </c>
      <c r="X71" s="79" t="s">
        <v>9</v>
      </c>
      <c r="Y71" s="79" t="s">
        <v>9</v>
      </c>
      <c r="Z71" s="79"/>
      <c r="AA71" s="79" t="s">
        <v>9</v>
      </c>
      <c r="AB71" s="79" t="s">
        <v>9</v>
      </c>
      <c r="AC71" s="79" t="s">
        <v>9</v>
      </c>
      <c r="AD71" s="79" t="s">
        <v>9</v>
      </c>
      <c r="AE71" s="79" t="s">
        <v>9</v>
      </c>
      <c r="AF71" s="79" t="s">
        <v>9</v>
      </c>
      <c r="AG71" s="79"/>
      <c r="AH71" s="79" t="s">
        <v>11</v>
      </c>
      <c r="AI71" s="79" t="s">
        <v>9</v>
      </c>
      <c r="AJ71" s="79" t="s">
        <v>9</v>
      </c>
      <c r="AK71" s="79" t="s">
        <v>9</v>
      </c>
      <c r="AL71" s="85">
        <f t="shared" si="16"/>
        <v>23</v>
      </c>
      <c r="AM71" s="85">
        <f t="shared" si="17"/>
        <v>0</v>
      </c>
      <c r="AN71" s="79">
        <f t="shared" si="18"/>
        <v>2</v>
      </c>
      <c r="AO71" s="85">
        <f t="shared" si="19"/>
        <v>0</v>
      </c>
      <c r="AP71" s="85">
        <f t="shared" si="20"/>
        <v>0</v>
      </c>
      <c r="AQ71" s="85">
        <f t="shared" si="21"/>
        <v>0</v>
      </c>
      <c r="AR71" s="85">
        <f t="shared" si="22"/>
        <v>0</v>
      </c>
      <c r="AS71" s="87">
        <f t="shared" si="23"/>
        <v>0</v>
      </c>
      <c r="AT71" s="84"/>
    </row>
    <row r="72" spans="1:46" ht="42.75" customHeight="1">
      <c r="A72" s="79">
        <v>3</v>
      </c>
      <c r="B72" s="179" t="s">
        <v>26</v>
      </c>
      <c r="C72" s="81" t="s">
        <v>27</v>
      </c>
      <c r="D72" s="85" t="s">
        <v>90</v>
      </c>
      <c r="E72" s="86" t="s">
        <v>24</v>
      </c>
      <c r="F72" s="81" t="s">
        <v>25</v>
      </c>
      <c r="G72" s="79"/>
      <c r="H72" s="79"/>
      <c r="I72" s="79" t="s">
        <v>9</v>
      </c>
      <c r="J72" s="79"/>
      <c r="K72" s="79" t="s">
        <v>9</v>
      </c>
      <c r="L72" s="79"/>
      <c r="M72" s="79" t="s">
        <v>9</v>
      </c>
      <c r="N72" s="79" t="s">
        <v>9</v>
      </c>
      <c r="O72" s="79" t="s">
        <v>9</v>
      </c>
      <c r="P72" s="79" t="s">
        <v>9</v>
      </c>
      <c r="Q72" s="79" t="s">
        <v>9</v>
      </c>
      <c r="R72" s="79" t="s">
        <v>9</v>
      </c>
      <c r="S72" s="79"/>
      <c r="T72" s="79" t="s">
        <v>9</v>
      </c>
      <c r="U72" s="79" t="s">
        <v>9</v>
      </c>
      <c r="V72" s="79" t="s">
        <v>9</v>
      </c>
      <c r="W72" s="79" t="s">
        <v>9</v>
      </c>
      <c r="X72" s="79" t="s">
        <v>9</v>
      </c>
      <c r="Y72" s="79" t="s">
        <v>9</v>
      </c>
      <c r="Z72" s="79"/>
      <c r="AA72" s="79" t="s">
        <v>9</v>
      </c>
      <c r="AB72" s="79" t="s">
        <v>9</v>
      </c>
      <c r="AC72" s="79" t="s">
        <v>9</v>
      </c>
      <c r="AD72" s="79" t="s">
        <v>9</v>
      </c>
      <c r="AE72" s="79" t="s">
        <v>9</v>
      </c>
      <c r="AF72" s="79" t="s">
        <v>9</v>
      </c>
      <c r="AG72" s="79"/>
      <c r="AH72" s="79" t="s">
        <v>9</v>
      </c>
      <c r="AI72" s="79" t="s">
        <v>9</v>
      </c>
      <c r="AJ72" s="79" t="s">
        <v>9</v>
      </c>
      <c r="AK72" s="79" t="s">
        <v>9</v>
      </c>
      <c r="AL72" s="85">
        <f t="shared" si="16"/>
        <v>24</v>
      </c>
      <c r="AM72" s="85">
        <f t="shared" si="17"/>
        <v>0</v>
      </c>
      <c r="AN72" s="79">
        <f t="shared" si="18"/>
        <v>0</v>
      </c>
      <c r="AO72" s="85">
        <f t="shared" si="19"/>
        <v>0</v>
      </c>
      <c r="AP72" s="85">
        <f t="shared" si="20"/>
        <v>0</v>
      </c>
      <c r="AQ72" s="85">
        <f t="shared" si="21"/>
        <v>0</v>
      </c>
      <c r="AR72" s="85">
        <f t="shared" si="22"/>
        <v>0</v>
      </c>
      <c r="AS72" s="87">
        <f t="shared" si="23"/>
        <v>0</v>
      </c>
      <c r="AT72" s="84"/>
    </row>
    <row r="73" spans="1:46" ht="42.75" customHeight="1">
      <c r="A73" s="85">
        <v>4</v>
      </c>
      <c r="B73" s="179" t="s">
        <v>22</v>
      </c>
      <c r="C73" s="81" t="s">
        <v>23</v>
      </c>
      <c r="D73" s="85" t="s">
        <v>90</v>
      </c>
      <c r="E73" s="86" t="s">
        <v>24</v>
      </c>
      <c r="F73" s="81" t="s">
        <v>25</v>
      </c>
      <c r="G73" s="79"/>
      <c r="H73" s="79" t="s">
        <v>9</v>
      </c>
      <c r="I73" s="79" t="s">
        <v>9</v>
      </c>
      <c r="J73" s="79"/>
      <c r="K73" s="79" t="s">
        <v>9</v>
      </c>
      <c r="L73" s="79"/>
      <c r="M73" s="79" t="s">
        <v>9</v>
      </c>
      <c r="N73" s="79" t="s">
        <v>9</v>
      </c>
      <c r="O73" s="79" t="s">
        <v>9</v>
      </c>
      <c r="P73" s="79" t="s">
        <v>9</v>
      </c>
      <c r="Q73" s="79" t="s">
        <v>9</v>
      </c>
      <c r="R73" s="79" t="s">
        <v>9</v>
      </c>
      <c r="S73" s="79"/>
      <c r="T73" s="79" t="s">
        <v>9</v>
      </c>
      <c r="U73" s="79" t="s">
        <v>9</v>
      </c>
      <c r="V73" s="79" t="s">
        <v>9</v>
      </c>
      <c r="W73" s="79" t="s">
        <v>9</v>
      </c>
      <c r="X73" s="79" t="s">
        <v>9</v>
      </c>
      <c r="Y73" s="79" t="s">
        <v>9</v>
      </c>
      <c r="Z73" s="79"/>
      <c r="AA73" s="79" t="s">
        <v>9</v>
      </c>
      <c r="AB73" s="79" t="s">
        <v>9</v>
      </c>
      <c r="AC73" s="79" t="s">
        <v>9</v>
      </c>
      <c r="AD73" s="79" t="s">
        <v>9</v>
      </c>
      <c r="AE73" s="79" t="s">
        <v>9</v>
      </c>
      <c r="AF73" s="79"/>
      <c r="AG73" s="79"/>
      <c r="AH73" s="79" t="s">
        <v>9</v>
      </c>
      <c r="AI73" s="79" t="s">
        <v>9</v>
      </c>
      <c r="AJ73" s="79" t="s">
        <v>9</v>
      </c>
      <c r="AK73" s="79" t="s">
        <v>9</v>
      </c>
      <c r="AL73" s="85">
        <f t="shared" si="16"/>
        <v>24</v>
      </c>
      <c r="AM73" s="85">
        <f t="shared" si="17"/>
        <v>0</v>
      </c>
      <c r="AN73" s="79">
        <f t="shared" si="18"/>
        <v>0</v>
      </c>
      <c r="AO73" s="85">
        <f t="shared" si="19"/>
        <v>0</v>
      </c>
      <c r="AP73" s="85">
        <f t="shared" si="20"/>
        <v>0</v>
      </c>
      <c r="AQ73" s="85">
        <f t="shared" si="21"/>
        <v>0</v>
      </c>
      <c r="AR73" s="85">
        <f t="shared" si="22"/>
        <v>0</v>
      </c>
      <c r="AS73" s="87">
        <f t="shared" si="23"/>
        <v>0</v>
      </c>
      <c r="AT73" s="84"/>
    </row>
    <row r="74" spans="1:46" ht="42.75" customHeight="1">
      <c r="A74" s="79">
        <v>5</v>
      </c>
      <c r="B74" s="179" t="s">
        <v>28</v>
      </c>
      <c r="C74" s="81" t="s">
        <v>29</v>
      </c>
      <c r="D74" s="85" t="s">
        <v>121</v>
      </c>
      <c r="E74" s="86" t="s">
        <v>24</v>
      </c>
      <c r="F74" s="81" t="s">
        <v>181</v>
      </c>
      <c r="G74" s="79"/>
      <c r="H74" s="79" t="s">
        <v>9</v>
      </c>
      <c r="I74" s="79" t="s">
        <v>9</v>
      </c>
      <c r="J74" s="79"/>
      <c r="K74" s="79" t="s">
        <v>9</v>
      </c>
      <c r="L74" s="79"/>
      <c r="M74" s="79" t="s">
        <v>13</v>
      </c>
      <c r="N74" s="79" t="s">
        <v>9</v>
      </c>
      <c r="O74" s="79" t="s">
        <v>9</v>
      </c>
      <c r="P74" s="79" t="s">
        <v>9</v>
      </c>
      <c r="Q74" s="79" t="s">
        <v>9</v>
      </c>
      <c r="R74" s="79" t="s">
        <v>11</v>
      </c>
      <c r="S74" s="79"/>
      <c r="T74" s="79" t="s">
        <v>9</v>
      </c>
      <c r="U74" s="79" t="s">
        <v>13</v>
      </c>
      <c r="V74" s="79" t="s">
        <v>9</v>
      </c>
      <c r="W74" s="79" t="s">
        <v>9</v>
      </c>
      <c r="X74" s="79" t="s">
        <v>9</v>
      </c>
      <c r="Y74" s="79" t="s">
        <v>9</v>
      </c>
      <c r="Z74" s="79"/>
      <c r="AA74" s="79" t="s">
        <v>9</v>
      </c>
      <c r="AB74" s="79" t="s">
        <v>9</v>
      </c>
      <c r="AC74" s="79" t="s">
        <v>9</v>
      </c>
      <c r="AD74" s="79"/>
      <c r="AE74" s="79" t="s">
        <v>9</v>
      </c>
      <c r="AF74" s="79" t="s">
        <v>9</v>
      </c>
      <c r="AG74" s="79"/>
      <c r="AH74" s="79" t="s">
        <v>9</v>
      </c>
      <c r="AI74" s="79" t="s">
        <v>9</v>
      </c>
      <c r="AJ74" s="79" t="s">
        <v>9</v>
      </c>
      <c r="AK74" s="79" t="s">
        <v>9</v>
      </c>
      <c r="AL74" s="85">
        <f t="shared" si="16"/>
        <v>21</v>
      </c>
      <c r="AM74" s="85">
        <f t="shared" si="17"/>
        <v>0</v>
      </c>
      <c r="AN74" s="79">
        <f t="shared" si="18"/>
        <v>1</v>
      </c>
      <c r="AO74" s="85">
        <f t="shared" si="19"/>
        <v>0</v>
      </c>
      <c r="AP74" s="85">
        <f t="shared" si="20"/>
        <v>0</v>
      </c>
      <c r="AQ74" s="85">
        <f t="shared" si="21"/>
        <v>2</v>
      </c>
      <c r="AR74" s="85">
        <f t="shared" si="22"/>
        <v>0</v>
      </c>
      <c r="AS74" s="87">
        <f t="shared" si="23"/>
        <v>0</v>
      </c>
      <c r="AT74" s="84"/>
    </row>
    <row r="75" spans="1:46" ht="42.75" customHeight="1">
      <c r="A75" s="85">
        <v>6</v>
      </c>
      <c r="B75" s="179" t="s">
        <v>30</v>
      </c>
      <c r="C75" s="81" t="s">
        <v>31</v>
      </c>
      <c r="D75" s="85" t="s">
        <v>36</v>
      </c>
      <c r="E75" s="86" t="s">
        <v>24</v>
      </c>
      <c r="F75" s="81" t="s">
        <v>91</v>
      </c>
      <c r="G75" s="79"/>
      <c r="H75" s="79" t="s">
        <v>9</v>
      </c>
      <c r="I75" s="79" t="s">
        <v>9</v>
      </c>
      <c r="J75" s="79"/>
      <c r="K75" s="79" t="s">
        <v>9</v>
      </c>
      <c r="L75" s="79"/>
      <c r="M75" s="79" t="s">
        <v>9</v>
      </c>
      <c r="N75" s="79" t="s">
        <v>9</v>
      </c>
      <c r="O75" s="79" t="s">
        <v>9</v>
      </c>
      <c r="P75" s="79" t="s">
        <v>9</v>
      </c>
      <c r="Q75" s="79" t="s">
        <v>12</v>
      </c>
      <c r="R75" s="79" t="s">
        <v>12</v>
      </c>
      <c r="S75" s="79"/>
      <c r="T75" s="79" t="s">
        <v>12</v>
      </c>
      <c r="U75" s="79" t="s">
        <v>12</v>
      </c>
      <c r="V75" s="79" t="s">
        <v>12</v>
      </c>
      <c r="W75" s="79" t="s">
        <v>12</v>
      </c>
      <c r="X75" s="79" t="s">
        <v>12</v>
      </c>
      <c r="Y75" s="79" t="s">
        <v>12</v>
      </c>
      <c r="Z75" s="79"/>
      <c r="AA75" s="79" t="s">
        <v>12</v>
      </c>
      <c r="AB75" s="79" t="s">
        <v>12</v>
      </c>
      <c r="AC75" s="79" t="s">
        <v>12</v>
      </c>
      <c r="AD75" s="79" t="s">
        <v>12</v>
      </c>
      <c r="AE75" s="79" t="s">
        <v>9</v>
      </c>
      <c r="AF75" s="79" t="s">
        <v>9</v>
      </c>
      <c r="AG75" s="79"/>
      <c r="AH75" s="79" t="s">
        <v>9</v>
      </c>
      <c r="AI75" s="79"/>
      <c r="AJ75" s="79" t="s">
        <v>9</v>
      </c>
      <c r="AK75" s="79" t="s">
        <v>9</v>
      </c>
      <c r="AL75" s="85">
        <f t="shared" si="16"/>
        <v>12</v>
      </c>
      <c r="AM75" s="85">
        <f t="shared" si="17"/>
        <v>0</v>
      </c>
      <c r="AN75" s="79">
        <f t="shared" si="18"/>
        <v>0</v>
      </c>
      <c r="AO75" s="85">
        <f t="shared" si="19"/>
        <v>12</v>
      </c>
      <c r="AP75" s="85">
        <f t="shared" si="20"/>
        <v>0</v>
      </c>
      <c r="AQ75" s="85">
        <f t="shared" si="21"/>
        <v>0</v>
      </c>
      <c r="AR75" s="85">
        <f t="shared" si="22"/>
        <v>0</v>
      </c>
      <c r="AS75" s="87">
        <f t="shared" si="23"/>
        <v>0</v>
      </c>
      <c r="AT75" s="84"/>
    </row>
    <row r="76" spans="1:46" ht="42.75" customHeight="1">
      <c r="A76" s="79">
        <v>7</v>
      </c>
      <c r="B76" s="179" t="s">
        <v>32</v>
      </c>
      <c r="C76" s="81" t="s">
        <v>33</v>
      </c>
      <c r="D76" s="85" t="s">
        <v>18</v>
      </c>
      <c r="E76" s="86" t="s">
        <v>24</v>
      </c>
      <c r="F76" s="81" t="s">
        <v>182</v>
      </c>
      <c r="G76" s="79"/>
      <c r="H76" s="79" t="s">
        <v>9</v>
      </c>
      <c r="I76" s="79" t="s">
        <v>9</v>
      </c>
      <c r="J76" s="79"/>
      <c r="K76" s="79" t="s">
        <v>9</v>
      </c>
      <c r="L76" s="79"/>
      <c r="M76" s="79" t="s">
        <v>9</v>
      </c>
      <c r="N76" s="79" t="s">
        <v>9</v>
      </c>
      <c r="O76" s="79" t="s">
        <v>9</v>
      </c>
      <c r="P76" s="79" t="s">
        <v>9</v>
      </c>
      <c r="Q76" s="79" t="s">
        <v>9</v>
      </c>
      <c r="R76" s="79" t="s">
        <v>9</v>
      </c>
      <c r="S76" s="79"/>
      <c r="T76" s="79" t="s">
        <v>9</v>
      </c>
      <c r="U76" s="79" t="s">
        <v>9</v>
      </c>
      <c r="V76" s="79" t="s">
        <v>9</v>
      </c>
      <c r="W76" s="79" t="s">
        <v>9</v>
      </c>
      <c r="X76" s="79" t="s">
        <v>9</v>
      </c>
      <c r="Y76" s="79" t="s">
        <v>9</v>
      </c>
      <c r="Z76" s="79"/>
      <c r="AA76" s="79" t="s">
        <v>9</v>
      </c>
      <c r="AB76" s="79" t="s">
        <v>9</v>
      </c>
      <c r="AC76" s="79" t="s">
        <v>9</v>
      </c>
      <c r="AD76" s="79" t="s">
        <v>9</v>
      </c>
      <c r="AE76" s="79" t="s">
        <v>9</v>
      </c>
      <c r="AF76" s="79" t="s">
        <v>9</v>
      </c>
      <c r="AG76" s="79"/>
      <c r="AH76" s="79" t="s">
        <v>9</v>
      </c>
      <c r="AI76" s="79" t="s">
        <v>9</v>
      </c>
      <c r="AJ76" s="79" t="s">
        <v>9</v>
      </c>
      <c r="AK76" s="79" t="s">
        <v>9</v>
      </c>
      <c r="AL76" s="85">
        <f t="shared" si="16"/>
        <v>25</v>
      </c>
      <c r="AM76" s="85">
        <f t="shared" si="17"/>
        <v>0</v>
      </c>
      <c r="AN76" s="79">
        <f t="shared" si="18"/>
        <v>0</v>
      </c>
      <c r="AO76" s="85">
        <f t="shared" si="19"/>
        <v>0</v>
      </c>
      <c r="AP76" s="85">
        <f t="shared" si="20"/>
        <v>0</v>
      </c>
      <c r="AQ76" s="85">
        <f t="shared" si="21"/>
        <v>0</v>
      </c>
      <c r="AR76" s="85">
        <f t="shared" si="22"/>
        <v>0</v>
      </c>
      <c r="AS76" s="87">
        <f t="shared" si="23"/>
        <v>0</v>
      </c>
      <c r="AT76" s="84"/>
    </row>
    <row r="77" spans="1:46" ht="42.75" customHeight="1">
      <c r="A77" s="85">
        <v>8</v>
      </c>
      <c r="B77" s="179" t="s">
        <v>34</v>
      </c>
      <c r="C77" s="81" t="s">
        <v>35</v>
      </c>
      <c r="D77" s="85" t="s">
        <v>18</v>
      </c>
      <c r="E77" s="86" t="s">
        <v>24</v>
      </c>
      <c r="F77" s="81" t="s">
        <v>95</v>
      </c>
      <c r="G77" s="79"/>
      <c r="H77" s="79"/>
      <c r="I77" s="79" t="s">
        <v>11</v>
      </c>
      <c r="J77" s="79"/>
      <c r="K77" s="79" t="s">
        <v>9</v>
      </c>
      <c r="L77" s="79"/>
      <c r="M77" s="79" t="s">
        <v>9</v>
      </c>
      <c r="N77" s="79" t="s">
        <v>9</v>
      </c>
      <c r="O77" s="79"/>
      <c r="P77" s="79"/>
      <c r="Q77" s="79" t="s">
        <v>9</v>
      </c>
      <c r="R77" s="79" t="s">
        <v>9</v>
      </c>
      <c r="S77" s="79"/>
      <c r="T77" s="79" t="s">
        <v>9</v>
      </c>
      <c r="U77" s="79" t="s">
        <v>9</v>
      </c>
      <c r="V77" s="79" t="s">
        <v>11</v>
      </c>
      <c r="W77" s="79" t="s">
        <v>9</v>
      </c>
      <c r="X77" s="79" t="s">
        <v>9</v>
      </c>
      <c r="Y77" s="79" t="s">
        <v>9</v>
      </c>
      <c r="Z77" s="79"/>
      <c r="AA77" s="79" t="s">
        <v>9</v>
      </c>
      <c r="AB77" s="79"/>
      <c r="AC77" s="79" t="s">
        <v>9</v>
      </c>
      <c r="AD77" s="79" t="s">
        <v>9</v>
      </c>
      <c r="AE77" s="79" t="s">
        <v>9</v>
      </c>
      <c r="AF77" s="79" t="s">
        <v>9</v>
      </c>
      <c r="AG77" s="79"/>
      <c r="AH77" s="79" t="s">
        <v>9</v>
      </c>
      <c r="AI77" s="79" t="s">
        <v>9</v>
      </c>
      <c r="AJ77" s="79" t="s">
        <v>9</v>
      </c>
      <c r="AK77" s="79" t="s">
        <v>9</v>
      </c>
      <c r="AL77" s="85">
        <f t="shared" si="16"/>
        <v>19</v>
      </c>
      <c r="AM77" s="85">
        <f t="shared" si="17"/>
        <v>0</v>
      </c>
      <c r="AN77" s="79">
        <f t="shared" si="18"/>
        <v>2</v>
      </c>
      <c r="AO77" s="85">
        <f t="shared" si="19"/>
        <v>0</v>
      </c>
      <c r="AP77" s="85">
        <f t="shared" si="20"/>
        <v>0</v>
      </c>
      <c r="AQ77" s="85">
        <f t="shared" si="21"/>
        <v>0</v>
      </c>
      <c r="AR77" s="85">
        <f t="shared" si="22"/>
        <v>0</v>
      </c>
      <c r="AS77" s="87">
        <f t="shared" si="23"/>
        <v>0</v>
      </c>
      <c r="AT77" s="84"/>
    </row>
    <row r="78" spans="1:46" ht="42.75" customHeight="1">
      <c r="A78" s="79">
        <v>9</v>
      </c>
      <c r="B78" s="179" t="s">
        <v>39</v>
      </c>
      <c r="C78" s="81" t="s">
        <v>40</v>
      </c>
      <c r="D78" s="85" t="s">
        <v>18</v>
      </c>
      <c r="E78" s="86" t="s">
        <v>24</v>
      </c>
      <c r="F78" s="81" t="s">
        <v>38</v>
      </c>
      <c r="G78" s="79"/>
      <c r="H78" s="79" t="s">
        <v>13</v>
      </c>
      <c r="I78" s="79" t="s">
        <v>9</v>
      </c>
      <c r="J78" s="79"/>
      <c r="K78" s="79" t="s">
        <v>9</v>
      </c>
      <c r="L78" s="79"/>
      <c r="M78" s="79" t="s">
        <v>13</v>
      </c>
      <c r="N78" s="79" t="s">
        <v>9</v>
      </c>
      <c r="O78" s="79" t="s">
        <v>9</v>
      </c>
      <c r="P78" s="79" t="s">
        <v>9</v>
      </c>
      <c r="Q78" s="79" t="s">
        <v>9</v>
      </c>
      <c r="R78" s="79" t="s">
        <v>9</v>
      </c>
      <c r="S78" s="79"/>
      <c r="T78" s="79" t="s">
        <v>9</v>
      </c>
      <c r="U78" s="79" t="s">
        <v>9</v>
      </c>
      <c r="V78" s="79" t="s">
        <v>9</v>
      </c>
      <c r="W78" s="79" t="s">
        <v>9</v>
      </c>
      <c r="X78" s="79" t="s">
        <v>9</v>
      </c>
      <c r="Y78" s="79" t="s">
        <v>9</v>
      </c>
      <c r="Z78" s="79"/>
      <c r="AA78" s="79" t="s">
        <v>9</v>
      </c>
      <c r="AB78" s="79" t="s">
        <v>9</v>
      </c>
      <c r="AC78" s="79" t="s">
        <v>9</v>
      </c>
      <c r="AD78" s="79" t="s">
        <v>9</v>
      </c>
      <c r="AE78" s="79" t="s">
        <v>9</v>
      </c>
      <c r="AF78" s="79" t="s">
        <v>9</v>
      </c>
      <c r="AG78" s="79"/>
      <c r="AH78" s="79" t="s">
        <v>9</v>
      </c>
      <c r="AI78" s="79" t="s">
        <v>9</v>
      </c>
      <c r="AJ78" s="79" t="s">
        <v>9</v>
      </c>
      <c r="AK78" s="79" t="s">
        <v>9</v>
      </c>
      <c r="AL78" s="85">
        <f t="shared" si="16"/>
        <v>23</v>
      </c>
      <c r="AM78" s="85">
        <f t="shared" si="17"/>
        <v>0</v>
      </c>
      <c r="AN78" s="79">
        <f t="shared" si="18"/>
        <v>0</v>
      </c>
      <c r="AO78" s="85">
        <f t="shared" si="19"/>
        <v>0</v>
      </c>
      <c r="AP78" s="85">
        <f t="shared" si="20"/>
        <v>0</v>
      </c>
      <c r="AQ78" s="85">
        <f t="shared" si="21"/>
        <v>2</v>
      </c>
      <c r="AR78" s="85">
        <f t="shared" si="22"/>
        <v>0</v>
      </c>
      <c r="AS78" s="87">
        <f t="shared" si="23"/>
        <v>0</v>
      </c>
      <c r="AT78" s="84"/>
    </row>
    <row r="79" spans="1:46" ht="42.75" customHeight="1">
      <c r="A79" s="85">
        <v>10</v>
      </c>
      <c r="B79" s="179" t="s">
        <v>97</v>
      </c>
      <c r="C79" s="81" t="s">
        <v>37</v>
      </c>
      <c r="D79" s="85" t="s">
        <v>18</v>
      </c>
      <c r="E79" s="86" t="s">
        <v>24</v>
      </c>
      <c r="F79" s="81" t="s">
        <v>161</v>
      </c>
      <c r="G79" s="79"/>
      <c r="H79" s="79" t="s">
        <v>9</v>
      </c>
      <c r="I79" s="79" t="s">
        <v>9</v>
      </c>
      <c r="J79" s="79"/>
      <c r="K79" s="79" t="s">
        <v>9</v>
      </c>
      <c r="L79" s="79"/>
      <c r="M79" s="79" t="s">
        <v>9</v>
      </c>
      <c r="N79" s="79" t="s">
        <v>9</v>
      </c>
      <c r="O79" s="79" t="s">
        <v>9</v>
      </c>
      <c r="P79" s="79" t="s">
        <v>9</v>
      </c>
      <c r="Q79" s="79" t="s">
        <v>9</v>
      </c>
      <c r="R79" s="79" t="s">
        <v>9</v>
      </c>
      <c r="S79" s="79"/>
      <c r="T79" s="79" t="s">
        <v>9</v>
      </c>
      <c r="U79" s="79" t="s">
        <v>9</v>
      </c>
      <c r="V79" s="79" t="s">
        <v>9</v>
      </c>
      <c r="W79" s="79" t="s">
        <v>9</v>
      </c>
      <c r="X79" s="79" t="s">
        <v>9</v>
      </c>
      <c r="Y79" s="79" t="s">
        <v>9</v>
      </c>
      <c r="Z79" s="79"/>
      <c r="AA79" s="79" t="s">
        <v>9</v>
      </c>
      <c r="AB79" s="79" t="s">
        <v>9</v>
      </c>
      <c r="AC79" s="79" t="s">
        <v>9</v>
      </c>
      <c r="AD79" s="79" t="s">
        <v>9</v>
      </c>
      <c r="AE79" s="79" t="s">
        <v>9</v>
      </c>
      <c r="AF79" s="79" t="s">
        <v>9</v>
      </c>
      <c r="AG79" s="79"/>
      <c r="AH79" s="79" t="s">
        <v>9</v>
      </c>
      <c r="AI79" s="79" t="s">
        <v>9</v>
      </c>
      <c r="AJ79" s="79" t="s">
        <v>9</v>
      </c>
      <c r="AK79" s="79" t="s">
        <v>9</v>
      </c>
      <c r="AL79" s="85">
        <f t="shared" si="16"/>
        <v>25</v>
      </c>
      <c r="AM79" s="85">
        <f t="shared" si="17"/>
        <v>0</v>
      </c>
      <c r="AN79" s="79">
        <f t="shared" si="18"/>
        <v>0</v>
      </c>
      <c r="AO79" s="85">
        <f t="shared" si="19"/>
        <v>0</v>
      </c>
      <c r="AP79" s="85">
        <f t="shared" si="20"/>
        <v>0</v>
      </c>
      <c r="AQ79" s="85">
        <f t="shared" si="21"/>
        <v>0</v>
      </c>
      <c r="AR79" s="85">
        <f t="shared" si="22"/>
        <v>0</v>
      </c>
      <c r="AS79" s="87">
        <f t="shared" si="23"/>
        <v>0</v>
      </c>
      <c r="AT79" s="84"/>
    </row>
    <row r="80" spans="1:46" ht="42.75" customHeight="1">
      <c r="A80" s="79">
        <v>11</v>
      </c>
      <c r="B80" s="179" t="s">
        <v>41</v>
      </c>
      <c r="C80" s="81" t="s">
        <v>42</v>
      </c>
      <c r="D80" s="85" t="s">
        <v>18</v>
      </c>
      <c r="E80" s="86" t="s">
        <v>24</v>
      </c>
      <c r="F80" s="81" t="s">
        <v>38</v>
      </c>
      <c r="G80" s="79"/>
      <c r="H80" s="79" t="s">
        <v>13</v>
      </c>
      <c r="I80" s="79" t="s">
        <v>13</v>
      </c>
      <c r="J80" s="79"/>
      <c r="K80" s="79" t="s">
        <v>9</v>
      </c>
      <c r="L80" s="79"/>
      <c r="M80" s="79" t="s">
        <v>9</v>
      </c>
      <c r="N80" s="79" t="s">
        <v>9</v>
      </c>
      <c r="O80" s="79" t="s">
        <v>9</v>
      </c>
      <c r="P80" s="79" t="s">
        <v>9</v>
      </c>
      <c r="Q80" s="79" t="s">
        <v>9</v>
      </c>
      <c r="R80" s="79" t="s">
        <v>9</v>
      </c>
      <c r="S80" s="79"/>
      <c r="T80" s="79" t="s">
        <v>9</v>
      </c>
      <c r="U80" s="79" t="s">
        <v>9</v>
      </c>
      <c r="V80" s="79" t="s">
        <v>9</v>
      </c>
      <c r="W80" s="79" t="s">
        <v>13</v>
      </c>
      <c r="X80" s="79"/>
      <c r="Y80" s="79" t="s">
        <v>9</v>
      </c>
      <c r="Z80" s="79"/>
      <c r="AA80" s="79" t="s">
        <v>9</v>
      </c>
      <c r="AB80" s="79" t="s">
        <v>9</v>
      </c>
      <c r="AC80" s="79" t="s">
        <v>9</v>
      </c>
      <c r="AD80" s="79" t="s">
        <v>9</v>
      </c>
      <c r="AE80" s="79" t="s">
        <v>9</v>
      </c>
      <c r="AF80" s="79" t="s">
        <v>9</v>
      </c>
      <c r="AG80" s="79"/>
      <c r="AH80" s="79" t="s">
        <v>9</v>
      </c>
      <c r="AI80" s="79" t="s">
        <v>9</v>
      </c>
      <c r="AJ80" s="79" t="s">
        <v>9</v>
      </c>
      <c r="AK80" s="79" t="s">
        <v>9</v>
      </c>
      <c r="AL80" s="85">
        <f t="shared" si="16"/>
        <v>21</v>
      </c>
      <c r="AM80" s="85">
        <f t="shared" si="17"/>
        <v>0</v>
      </c>
      <c r="AN80" s="79">
        <f t="shared" si="18"/>
        <v>0</v>
      </c>
      <c r="AO80" s="85">
        <f t="shared" si="19"/>
        <v>0</v>
      </c>
      <c r="AP80" s="85">
        <f t="shared" si="20"/>
        <v>0</v>
      </c>
      <c r="AQ80" s="85">
        <f t="shared" si="21"/>
        <v>3</v>
      </c>
      <c r="AR80" s="85">
        <f t="shared" si="22"/>
        <v>0</v>
      </c>
      <c r="AS80" s="87">
        <f t="shared" si="23"/>
        <v>0</v>
      </c>
      <c r="AT80" s="84"/>
    </row>
    <row r="81" spans="1:46" ht="42.75" customHeight="1">
      <c r="A81" s="85">
        <v>12</v>
      </c>
      <c r="B81" s="179" t="s">
        <v>43</v>
      </c>
      <c r="C81" s="81" t="s">
        <v>44</v>
      </c>
      <c r="D81" s="85" t="s">
        <v>18</v>
      </c>
      <c r="E81" s="86" t="s">
        <v>24</v>
      </c>
      <c r="F81" s="81" t="s">
        <v>38</v>
      </c>
      <c r="G81" s="79"/>
      <c r="H81" s="79" t="s">
        <v>9</v>
      </c>
      <c r="I81" s="79" t="s">
        <v>9</v>
      </c>
      <c r="J81" s="79"/>
      <c r="K81" s="79" t="s">
        <v>9</v>
      </c>
      <c r="L81" s="79"/>
      <c r="M81" s="79" t="s">
        <v>9</v>
      </c>
      <c r="N81" s="79" t="s">
        <v>9</v>
      </c>
      <c r="O81" s="79" t="s">
        <v>9</v>
      </c>
      <c r="P81" s="79" t="s">
        <v>9</v>
      </c>
      <c r="Q81" s="79" t="s">
        <v>13</v>
      </c>
      <c r="R81" s="79" t="s">
        <v>9</v>
      </c>
      <c r="S81" s="79"/>
      <c r="T81" s="79" t="s">
        <v>9</v>
      </c>
      <c r="U81" s="79" t="s">
        <v>9</v>
      </c>
      <c r="V81" s="79" t="s">
        <v>9</v>
      </c>
      <c r="W81" s="79" t="s">
        <v>9</v>
      </c>
      <c r="X81" s="79" t="s">
        <v>9</v>
      </c>
      <c r="Y81" s="79" t="s">
        <v>9</v>
      </c>
      <c r="Z81" s="79"/>
      <c r="AA81" s="79" t="s">
        <v>9</v>
      </c>
      <c r="AB81" s="79" t="s">
        <v>9</v>
      </c>
      <c r="AC81" s="79" t="s">
        <v>9</v>
      </c>
      <c r="AD81" s="79" t="s">
        <v>9</v>
      </c>
      <c r="AE81" s="79" t="s">
        <v>9</v>
      </c>
      <c r="AF81" s="79" t="s">
        <v>9</v>
      </c>
      <c r="AG81" s="79"/>
      <c r="AH81" s="79" t="s">
        <v>9</v>
      </c>
      <c r="AI81" s="79" t="s">
        <v>9</v>
      </c>
      <c r="AJ81" s="79" t="s">
        <v>9</v>
      </c>
      <c r="AK81" s="79" t="s">
        <v>9</v>
      </c>
      <c r="AL81" s="85">
        <f t="shared" si="16"/>
        <v>24</v>
      </c>
      <c r="AM81" s="85">
        <f t="shared" si="17"/>
        <v>0</v>
      </c>
      <c r="AN81" s="79">
        <f t="shared" si="18"/>
        <v>0</v>
      </c>
      <c r="AO81" s="85">
        <f t="shared" si="19"/>
        <v>0</v>
      </c>
      <c r="AP81" s="85">
        <f t="shared" si="20"/>
        <v>0</v>
      </c>
      <c r="AQ81" s="85">
        <f t="shared" si="21"/>
        <v>1</v>
      </c>
      <c r="AR81" s="85">
        <f t="shared" si="22"/>
        <v>0</v>
      </c>
      <c r="AS81" s="87">
        <f t="shared" si="23"/>
        <v>0</v>
      </c>
      <c r="AT81" s="84"/>
    </row>
    <row r="82" spans="1:46" ht="42.75" customHeight="1">
      <c r="A82" s="79">
        <v>13</v>
      </c>
      <c r="B82" s="179" t="s">
        <v>45</v>
      </c>
      <c r="C82" s="81" t="s">
        <v>46</v>
      </c>
      <c r="D82" s="85" t="s">
        <v>18</v>
      </c>
      <c r="E82" s="86" t="s">
        <v>24</v>
      </c>
      <c r="F82" s="81" t="s">
        <v>38</v>
      </c>
      <c r="G82" s="79"/>
      <c r="H82" s="79" t="s">
        <v>9</v>
      </c>
      <c r="I82" s="79" t="s">
        <v>9</v>
      </c>
      <c r="J82" s="79"/>
      <c r="K82" s="79" t="s">
        <v>9</v>
      </c>
      <c r="L82" s="79"/>
      <c r="M82" s="79" t="s">
        <v>9</v>
      </c>
      <c r="N82" s="79" t="s">
        <v>9</v>
      </c>
      <c r="O82" s="79" t="s">
        <v>9</v>
      </c>
      <c r="P82" s="79" t="s">
        <v>9</v>
      </c>
      <c r="Q82" s="79" t="s">
        <v>9</v>
      </c>
      <c r="R82" s="79" t="s">
        <v>9</v>
      </c>
      <c r="S82" s="79"/>
      <c r="T82" s="79" t="s">
        <v>9</v>
      </c>
      <c r="U82" s="79" t="s">
        <v>9</v>
      </c>
      <c r="V82" s="79" t="s">
        <v>9</v>
      </c>
      <c r="W82" s="79" t="s">
        <v>9</v>
      </c>
      <c r="X82" s="79" t="s">
        <v>9</v>
      </c>
      <c r="Y82" s="79" t="s">
        <v>9</v>
      </c>
      <c r="Z82" s="79"/>
      <c r="AA82" s="79" t="s">
        <v>9</v>
      </c>
      <c r="AB82" s="79" t="s">
        <v>9</v>
      </c>
      <c r="AC82" s="79" t="s">
        <v>9</v>
      </c>
      <c r="AD82" s="79" t="s">
        <v>9</v>
      </c>
      <c r="AE82" s="79" t="s">
        <v>9</v>
      </c>
      <c r="AF82" s="79"/>
      <c r="AG82" s="79"/>
      <c r="AH82" s="79" t="s">
        <v>9</v>
      </c>
      <c r="AI82" s="79" t="s">
        <v>9</v>
      </c>
      <c r="AJ82" s="79" t="s">
        <v>9</v>
      </c>
      <c r="AK82" s="79" t="s">
        <v>9</v>
      </c>
      <c r="AL82" s="85">
        <f t="shared" si="16"/>
        <v>24</v>
      </c>
      <c r="AM82" s="85">
        <f t="shared" si="17"/>
        <v>0</v>
      </c>
      <c r="AN82" s="79">
        <f t="shared" si="18"/>
        <v>0</v>
      </c>
      <c r="AO82" s="85">
        <f t="shared" si="19"/>
        <v>0</v>
      </c>
      <c r="AP82" s="85">
        <f t="shared" si="20"/>
        <v>0</v>
      </c>
      <c r="AQ82" s="85">
        <f t="shared" si="21"/>
        <v>0</v>
      </c>
      <c r="AR82" s="85">
        <f t="shared" si="22"/>
        <v>0</v>
      </c>
      <c r="AS82" s="87">
        <f t="shared" si="23"/>
        <v>0</v>
      </c>
      <c r="AT82" s="84"/>
    </row>
    <row r="83" spans="1:46" ht="42.75" customHeight="1">
      <c r="A83" s="85">
        <v>14</v>
      </c>
      <c r="B83" s="179" t="s">
        <v>49</v>
      </c>
      <c r="C83" s="81" t="s">
        <v>176</v>
      </c>
      <c r="D83" s="85" t="s">
        <v>18</v>
      </c>
      <c r="E83" s="86" t="s">
        <v>24</v>
      </c>
      <c r="F83" s="81" t="s">
        <v>50</v>
      </c>
      <c r="G83" s="79"/>
      <c r="H83" s="79" t="s">
        <v>9</v>
      </c>
      <c r="I83" s="79" t="s">
        <v>9</v>
      </c>
      <c r="J83" s="79"/>
      <c r="K83" s="79" t="s">
        <v>9</v>
      </c>
      <c r="L83" s="79"/>
      <c r="M83" s="79" t="s">
        <v>13</v>
      </c>
      <c r="N83" s="79" t="s">
        <v>9</v>
      </c>
      <c r="O83" s="79" t="s">
        <v>9</v>
      </c>
      <c r="P83" s="79" t="s">
        <v>9</v>
      </c>
      <c r="Q83" s="79" t="s">
        <v>9</v>
      </c>
      <c r="R83" s="79" t="s">
        <v>9</v>
      </c>
      <c r="S83" s="79"/>
      <c r="T83" s="79" t="s">
        <v>9</v>
      </c>
      <c r="U83" s="79" t="s">
        <v>9</v>
      </c>
      <c r="V83" s="79" t="s">
        <v>9</v>
      </c>
      <c r="W83" s="79" t="s">
        <v>9</v>
      </c>
      <c r="X83" s="79" t="s">
        <v>9</v>
      </c>
      <c r="Y83" s="79" t="s">
        <v>9</v>
      </c>
      <c r="Z83" s="79"/>
      <c r="AA83" s="79" t="s">
        <v>9</v>
      </c>
      <c r="AB83" s="79" t="s">
        <v>9</v>
      </c>
      <c r="AC83" s="79" t="s">
        <v>9</v>
      </c>
      <c r="AD83" s="79" t="s">
        <v>9</v>
      </c>
      <c r="AE83" s="79" t="s">
        <v>9</v>
      </c>
      <c r="AF83" s="79" t="s">
        <v>9</v>
      </c>
      <c r="AG83" s="79"/>
      <c r="AH83" s="79" t="s">
        <v>9</v>
      </c>
      <c r="AI83" s="79" t="s">
        <v>9</v>
      </c>
      <c r="AJ83" s="79" t="s">
        <v>9</v>
      </c>
      <c r="AK83" s="79" t="s">
        <v>9</v>
      </c>
      <c r="AL83" s="85">
        <f t="shared" si="16"/>
        <v>24</v>
      </c>
      <c r="AM83" s="85">
        <f t="shared" si="17"/>
        <v>0</v>
      </c>
      <c r="AN83" s="79">
        <f t="shared" si="18"/>
        <v>0</v>
      </c>
      <c r="AO83" s="85">
        <f t="shared" si="19"/>
        <v>0</v>
      </c>
      <c r="AP83" s="85">
        <f t="shared" si="20"/>
        <v>0</v>
      </c>
      <c r="AQ83" s="85">
        <f t="shared" si="21"/>
        <v>1</v>
      </c>
      <c r="AR83" s="85">
        <f t="shared" si="22"/>
        <v>0</v>
      </c>
      <c r="AS83" s="87">
        <f t="shared" si="23"/>
        <v>0</v>
      </c>
      <c r="AT83" s="84"/>
    </row>
    <row r="84" spans="1:46" ht="42.75" customHeight="1">
      <c r="A84" s="79">
        <v>15</v>
      </c>
      <c r="B84" s="179" t="s">
        <v>47</v>
      </c>
      <c r="C84" s="81" t="s">
        <v>48</v>
      </c>
      <c r="D84" s="85" t="s">
        <v>18</v>
      </c>
      <c r="E84" s="86" t="s">
        <v>24</v>
      </c>
      <c r="F84" s="81" t="s">
        <v>182</v>
      </c>
      <c r="G84" s="79"/>
      <c r="H84" s="79" t="s">
        <v>9</v>
      </c>
      <c r="I84" s="79" t="s">
        <v>9</v>
      </c>
      <c r="J84" s="79"/>
      <c r="K84" s="79" t="s">
        <v>11</v>
      </c>
      <c r="L84" s="79"/>
      <c r="M84" s="79" t="s">
        <v>13</v>
      </c>
      <c r="N84" s="79" t="s">
        <v>9</v>
      </c>
      <c r="O84" s="79" t="s">
        <v>9</v>
      </c>
      <c r="P84" s="79" t="s">
        <v>9</v>
      </c>
      <c r="Q84" s="79" t="s">
        <v>9</v>
      </c>
      <c r="R84" s="79" t="s">
        <v>9</v>
      </c>
      <c r="S84" s="79"/>
      <c r="T84" s="79" t="s">
        <v>9</v>
      </c>
      <c r="U84" s="79" t="s">
        <v>9</v>
      </c>
      <c r="V84" s="79" t="s">
        <v>9</v>
      </c>
      <c r="W84" s="79" t="s">
        <v>11</v>
      </c>
      <c r="X84" s="79" t="s">
        <v>9</v>
      </c>
      <c r="Y84" s="79" t="s">
        <v>9</v>
      </c>
      <c r="Z84" s="79"/>
      <c r="AA84" s="79" t="s">
        <v>9</v>
      </c>
      <c r="AB84" s="79" t="s">
        <v>9</v>
      </c>
      <c r="AC84" s="79" t="s">
        <v>9</v>
      </c>
      <c r="AD84" s="79" t="s">
        <v>11</v>
      </c>
      <c r="AE84" s="79" t="s">
        <v>9</v>
      </c>
      <c r="AF84" s="79"/>
      <c r="AG84" s="79"/>
      <c r="AH84" s="79" t="s">
        <v>9</v>
      </c>
      <c r="AI84" s="79" t="s">
        <v>9</v>
      </c>
      <c r="AJ84" s="79" t="s">
        <v>9</v>
      </c>
      <c r="AK84" s="79" t="s">
        <v>9</v>
      </c>
      <c r="AL84" s="85">
        <f t="shared" si="16"/>
        <v>20</v>
      </c>
      <c r="AM84" s="85">
        <f t="shared" si="17"/>
        <v>0</v>
      </c>
      <c r="AN84" s="79">
        <f t="shared" si="18"/>
        <v>3</v>
      </c>
      <c r="AO84" s="85">
        <f t="shared" si="19"/>
        <v>0</v>
      </c>
      <c r="AP84" s="85">
        <f t="shared" si="20"/>
        <v>0</v>
      </c>
      <c r="AQ84" s="85">
        <f t="shared" si="21"/>
        <v>1</v>
      </c>
      <c r="AR84" s="85">
        <f t="shared" si="22"/>
        <v>0</v>
      </c>
      <c r="AS84" s="87">
        <f t="shared" si="23"/>
        <v>0</v>
      </c>
      <c r="AT84" s="84"/>
    </row>
    <row r="85" spans="1:46" ht="42.75" customHeight="1">
      <c r="A85" s="85">
        <v>16</v>
      </c>
      <c r="B85" s="179" t="s">
        <v>169</v>
      </c>
      <c r="C85" s="81" t="s">
        <v>51</v>
      </c>
      <c r="D85" s="85" t="s">
        <v>18</v>
      </c>
      <c r="E85" s="86" t="s">
        <v>24</v>
      </c>
      <c r="F85" s="81" t="s">
        <v>50</v>
      </c>
      <c r="G85" s="79"/>
      <c r="H85" s="79" t="s">
        <v>9</v>
      </c>
      <c r="I85" s="79" t="s">
        <v>9</v>
      </c>
      <c r="J85" s="79"/>
      <c r="K85" s="79" t="s">
        <v>11</v>
      </c>
      <c r="L85" s="79"/>
      <c r="M85" s="79" t="s">
        <v>9</v>
      </c>
      <c r="N85" s="79" t="s">
        <v>9</v>
      </c>
      <c r="O85" s="79" t="s">
        <v>9</v>
      </c>
      <c r="P85" s="79" t="s">
        <v>9</v>
      </c>
      <c r="Q85" s="79" t="s">
        <v>9</v>
      </c>
      <c r="R85" s="79" t="s">
        <v>9</v>
      </c>
      <c r="S85" s="79"/>
      <c r="T85" s="79" t="s">
        <v>9</v>
      </c>
      <c r="U85" s="79" t="s">
        <v>9</v>
      </c>
      <c r="V85" s="79" t="s">
        <v>9</v>
      </c>
      <c r="W85" s="79" t="s">
        <v>9</v>
      </c>
      <c r="X85" s="79" t="s">
        <v>9</v>
      </c>
      <c r="Y85" s="79" t="s">
        <v>9</v>
      </c>
      <c r="Z85" s="79"/>
      <c r="AA85" s="79" t="s">
        <v>11</v>
      </c>
      <c r="AB85" s="79"/>
      <c r="AC85" s="79" t="s">
        <v>9</v>
      </c>
      <c r="AD85" s="79" t="s">
        <v>9</v>
      </c>
      <c r="AE85" s="79" t="s">
        <v>9</v>
      </c>
      <c r="AF85" s="79" t="s">
        <v>9</v>
      </c>
      <c r="AG85" s="79"/>
      <c r="AH85" s="79" t="s">
        <v>9</v>
      </c>
      <c r="AI85" s="79" t="s">
        <v>9</v>
      </c>
      <c r="AJ85" s="79" t="s">
        <v>9</v>
      </c>
      <c r="AK85" s="79" t="s">
        <v>9</v>
      </c>
      <c r="AL85" s="85">
        <f t="shared" si="16"/>
        <v>22</v>
      </c>
      <c r="AM85" s="85">
        <f t="shared" si="17"/>
        <v>0</v>
      </c>
      <c r="AN85" s="79">
        <f t="shared" si="18"/>
        <v>2</v>
      </c>
      <c r="AO85" s="85">
        <f t="shared" si="19"/>
        <v>0</v>
      </c>
      <c r="AP85" s="85">
        <f t="shared" si="20"/>
        <v>0</v>
      </c>
      <c r="AQ85" s="85">
        <f t="shared" si="21"/>
        <v>0</v>
      </c>
      <c r="AR85" s="85">
        <f t="shared" si="22"/>
        <v>0</v>
      </c>
      <c r="AS85" s="87">
        <f t="shared" si="23"/>
        <v>0</v>
      </c>
      <c r="AT85" s="84"/>
    </row>
    <row r="86" spans="1:46" ht="42.75" customHeight="1">
      <c r="A86" s="79">
        <v>17</v>
      </c>
      <c r="B86" s="179" t="s">
        <v>92</v>
      </c>
      <c r="C86" s="81" t="s">
        <v>59</v>
      </c>
      <c r="D86" s="85" t="s">
        <v>36</v>
      </c>
      <c r="E86" s="86" t="s">
        <v>24</v>
      </c>
      <c r="F86" s="81" t="s">
        <v>183</v>
      </c>
      <c r="G86" s="79"/>
      <c r="H86" s="79" t="s">
        <v>11</v>
      </c>
      <c r="I86" s="79" t="s">
        <v>11</v>
      </c>
      <c r="J86" s="79"/>
      <c r="K86" s="79" t="s">
        <v>11</v>
      </c>
      <c r="L86" s="79"/>
      <c r="M86" s="79"/>
      <c r="N86" s="79" t="s">
        <v>9</v>
      </c>
      <c r="O86" s="79" t="s">
        <v>11</v>
      </c>
      <c r="P86" s="79" t="s">
        <v>9</v>
      </c>
      <c r="Q86" s="79" t="s">
        <v>9</v>
      </c>
      <c r="R86" s="79" t="s">
        <v>11</v>
      </c>
      <c r="S86" s="79"/>
      <c r="T86" s="79" t="s">
        <v>9</v>
      </c>
      <c r="U86" s="79" t="s">
        <v>11</v>
      </c>
      <c r="V86" s="79" t="s">
        <v>9</v>
      </c>
      <c r="W86" s="79" t="s">
        <v>9</v>
      </c>
      <c r="X86" s="79" t="s">
        <v>9</v>
      </c>
      <c r="Y86" s="79" t="s">
        <v>9</v>
      </c>
      <c r="Z86" s="79"/>
      <c r="AA86" s="79" t="s">
        <v>9</v>
      </c>
      <c r="AB86" s="79" t="s">
        <v>9</v>
      </c>
      <c r="AC86" s="79" t="s">
        <v>11</v>
      </c>
      <c r="AD86" s="79" t="s">
        <v>13</v>
      </c>
      <c r="AE86" s="79" t="s">
        <v>11</v>
      </c>
      <c r="AF86" s="79" t="s">
        <v>11</v>
      </c>
      <c r="AG86" s="79"/>
      <c r="AH86" s="79" t="s">
        <v>11</v>
      </c>
      <c r="AI86" s="79" t="s">
        <v>9</v>
      </c>
      <c r="AJ86" s="79" t="s">
        <v>11</v>
      </c>
      <c r="AK86" s="79" t="s">
        <v>9</v>
      </c>
      <c r="AL86" s="85">
        <f t="shared" si="16"/>
        <v>12</v>
      </c>
      <c r="AM86" s="85">
        <f t="shared" si="17"/>
        <v>0</v>
      </c>
      <c r="AN86" s="79">
        <f t="shared" si="18"/>
        <v>11</v>
      </c>
      <c r="AO86" s="85">
        <f t="shared" si="19"/>
        <v>0</v>
      </c>
      <c r="AP86" s="85">
        <f t="shared" si="20"/>
        <v>0</v>
      </c>
      <c r="AQ86" s="85">
        <f t="shared" si="21"/>
        <v>1</v>
      </c>
      <c r="AR86" s="85">
        <f t="shared" si="22"/>
        <v>0</v>
      </c>
      <c r="AS86" s="87">
        <f t="shared" si="23"/>
        <v>0</v>
      </c>
      <c r="AT86" s="84"/>
    </row>
    <row r="87" spans="1:46" ht="42.75" customHeight="1">
      <c r="A87" s="85">
        <v>18</v>
      </c>
      <c r="B87" s="179" t="s">
        <v>168</v>
      </c>
      <c r="C87" s="81" t="s">
        <v>58</v>
      </c>
      <c r="D87" s="85" t="s">
        <v>36</v>
      </c>
      <c r="E87" s="86" t="s">
        <v>24</v>
      </c>
      <c r="F87" s="88" t="s">
        <v>99</v>
      </c>
      <c r="G87" s="79"/>
      <c r="H87" s="79" t="s">
        <v>9</v>
      </c>
      <c r="I87" s="79" t="s">
        <v>11</v>
      </c>
      <c r="J87" s="79"/>
      <c r="K87" s="79" t="s">
        <v>9</v>
      </c>
      <c r="L87" s="79"/>
      <c r="M87" s="79" t="s">
        <v>11</v>
      </c>
      <c r="N87" s="79" t="s">
        <v>11</v>
      </c>
      <c r="O87" s="79" t="s">
        <v>9</v>
      </c>
      <c r="P87" s="79" t="s">
        <v>9</v>
      </c>
      <c r="Q87" s="79" t="s">
        <v>9</v>
      </c>
      <c r="R87" s="79" t="s">
        <v>9</v>
      </c>
      <c r="S87" s="79"/>
      <c r="T87" s="79" t="s">
        <v>11</v>
      </c>
      <c r="U87" s="79" t="s">
        <v>9</v>
      </c>
      <c r="V87" s="79" t="s">
        <v>9</v>
      </c>
      <c r="W87" s="79" t="s">
        <v>9</v>
      </c>
      <c r="X87" s="79"/>
      <c r="Y87" s="79" t="s">
        <v>9</v>
      </c>
      <c r="Z87" s="79"/>
      <c r="AA87" s="79" t="s">
        <v>9</v>
      </c>
      <c r="AB87" s="79" t="s">
        <v>9</v>
      </c>
      <c r="AC87" s="79" t="s">
        <v>11</v>
      </c>
      <c r="AD87" s="79" t="s">
        <v>9</v>
      </c>
      <c r="AE87" s="79" t="s">
        <v>9</v>
      </c>
      <c r="AF87" s="79" t="s">
        <v>9</v>
      </c>
      <c r="AG87" s="79"/>
      <c r="AH87" s="79" t="s">
        <v>9</v>
      </c>
      <c r="AI87" s="79" t="s">
        <v>9</v>
      </c>
      <c r="AJ87" s="79" t="s">
        <v>9</v>
      </c>
      <c r="AK87" s="79" t="s">
        <v>9</v>
      </c>
      <c r="AL87" s="85">
        <f t="shared" si="16"/>
        <v>19</v>
      </c>
      <c r="AM87" s="85">
        <f t="shared" si="17"/>
        <v>0</v>
      </c>
      <c r="AN87" s="79">
        <f t="shared" si="18"/>
        <v>5</v>
      </c>
      <c r="AO87" s="85">
        <f t="shared" si="19"/>
        <v>0</v>
      </c>
      <c r="AP87" s="85">
        <f t="shared" si="20"/>
        <v>0</v>
      </c>
      <c r="AQ87" s="85">
        <f t="shared" si="21"/>
        <v>0</v>
      </c>
      <c r="AR87" s="85">
        <f t="shared" si="22"/>
        <v>0</v>
      </c>
      <c r="AS87" s="87">
        <f t="shared" si="23"/>
        <v>0</v>
      </c>
      <c r="AT87" s="84"/>
    </row>
    <row r="88" spans="1:46" ht="42.75" customHeight="1">
      <c r="A88" s="79">
        <v>19</v>
      </c>
      <c r="B88" s="179" t="s">
        <v>55</v>
      </c>
      <c r="C88" s="81" t="s">
        <v>56</v>
      </c>
      <c r="D88" s="85" t="s">
        <v>36</v>
      </c>
      <c r="E88" s="86" t="s">
        <v>24</v>
      </c>
      <c r="F88" s="81" t="s">
        <v>57</v>
      </c>
      <c r="G88" s="89"/>
      <c r="H88" s="79" t="s">
        <v>9</v>
      </c>
      <c r="I88" s="79" t="s">
        <v>9</v>
      </c>
      <c r="J88" s="79"/>
      <c r="K88" s="79" t="s">
        <v>9</v>
      </c>
      <c r="L88" s="79"/>
      <c r="M88" s="79" t="s">
        <v>9</v>
      </c>
      <c r="N88" s="79" t="s">
        <v>9</v>
      </c>
      <c r="O88" s="79" t="s">
        <v>9</v>
      </c>
      <c r="P88" s="79" t="s">
        <v>9</v>
      </c>
      <c r="Q88" s="79" t="s">
        <v>9</v>
      </c>
      <c r="R88" s="79" t="s">
        <v>9</v>
      </c>
      <c r="S88" s="79"/>
      <c r="T88" s="79" t="s">
        <v>9</v>
      </c>
      <c r="U88" s="79"/>
      <c r="V88" s="79" t="s">
        <v>11</v>
      </c>
      <c r="W88" s="79" t="s">
        <v>9</v>
      </c>
      <c r="X88" s="79" t="s">
        <v>9</v>
      </c>
      <c r="Y88" s="79" t="s">
        <v>9</v>
      </c>
      <c r="Z88" s="79"/>
      <c r="AA88" s="79" t="s">
        <v>9</v>
      </c>
      <c r="AB88" s="79" t="s">
        <v>9</v>
      </c>
      <c r="AC88" s="79" t="s">
        <v>9</v>
      </c>
      <c r="AD88" s="79" t="s">
        <v>9</v>
      </c>
      <c r="AE88" s="79" t="s">
        <v>9</v>
      </c>
      <c r="AF88" s="79" t="s">
        <v>9</v>
      </c>
      <c r="AG88" s="79"/>
      <c r="AH88" s="79" t="s">
        <v>9</v>
      </c>
      <c r="AI88" s="79" t="s">
        <v>9</v>
      </c>
      <c r="AJ88" s="79" t="s">
        <v>9</v>
      </c>
      <c r="AK88" s="79" t="s">
        <v>9</v>
      </c>
      <c r="AL88" s="85">
        <f t="shared" si="16"/>
        <v>23</v>
      </c>
      <c r="AM88" s="85">
        <f t="shared" si="17"/>
        <v>0</v>
      </c>
      <c r="AN88" s="79">
        <f t="shared" si="18"/>
        <v>1</v>
      </c>
      <c r="AO88" s="85">
        <f t="shared" si="19"/>
        <v>0</v>
      </c>
      <c r="AP88" s="85">
        <f t="shared" si="20"/>
        <v>0</v>
      </c>
      <c r="AQ88" s="85">
        <f t="shared" si="21"/>
        <v>0</v>
      </c>
      <c r="AR88" s="85">
        <f t="shared" si="22"/>
        <v>0</v>
      </c>
      <c r="AS88" s="87">
        <f t="shared" si="23"/>
        <v>0</v>
      </c>
      <c r="AT88" s="84"/>
    </row>
    <row r="89" spans="1:46" ht="42.75" customHeight="1">
      <c r="A89" s="85">
        <v>20</v>
      </c>
      <c r="B89" s="179" t="s">
        <v>98</v>
      </c>
      <c r="C89" s="81" t="s">
        <v>65</v>
      </c>
      <c r="D89" s="85" t="s">
        <v>36</v>
      </c>
      <c r="E89" s="86" t="s">
        <v>24</v>
      </c>
      <c r="F89" s="81" t="s">
        <v>161</v>
      </c>
      <c r="G89" s="79"/>
      <c r="H89" s="79" t="s">
        <v>9</v>
      </c>
      <c r="I89" s="79" t="s">
        <v>9</v>
      </c>
      <c r="J89" s="79"/>
      <c r="K89" s="79" t="s">
        <v>9</v>
      </c>
      <c r="L89" s="79"/>
      <c r="M89" s="79" t="s">
        <v>9</v>
      </c>
      <c r="N89" s="79" t="s">
        <v>9</v>
      </c>
      <c r="O89" s="79" t="s">
        <v>11</v>
      </c>
      <c r="P89" s="79" t="s">
        <v>9</v>
      </c>
      <c r="Q89" s="79" t="s">
        <v>9</v>
      </c>
      <c r="R89" s="79" t="s">
        <v>9</v>
      </c>
      <c r="S89" s="79"/>
      <c r="T89" s="79" t="s">
        <v>9</v>
      </c>
      <c r="U89" s="79" t="s">
        <v>9</v>
      </c>
      <c r="V89" s="79" t="s">
        <v>9</v>
      </c>
      <c r="W89" s="79" t="s">
        <v>9</v>
      </c>
      <c r="X89" s="79" t="s">
        <v>9</v>
      </c>
      <c r="Y89" s="79" t="s">
        <v>9</v>
      </c>
      <c r="Z89" s="79"/>
      <c r="AA89" s="79" t="s">
        <v>9</v>
      </c>
      <c r="AB89" s="79" t="s">
        <v>9</v>
      </c>
      <c r="AC89" s="79" t="s">
        <v>9</v>
      </c>
      <c r="AD89" s="79" t="s">
        <v>9</v>
      </c>
      <c r="AE89" s="79" t="s">
        <v>9</v>
      </c>
      <c r="AF89" s="79" t="s">
        <v>9</v>
      </c>
      <c r="AG89" s="79"/>
      <c r="AH89" s="79" t="s">
        <v>9</v>
      </c>
      <c r="AI89" s="79" t="s">
        <v>9</v>
      </c>
      <c r="AJ89" s="79" t="s">
        <v>9</v>
      </c>
      <c r="AK89" s="79" t="s">
        <v>9</v>
      </c>
      <c r="AL89" s="85">
        <f t="shared" si="16"/>
        <v>24</v>
      </c>
      <c r="AM89" s="85">
        <f t="shared" si="17"/>
        <v>0</v>
      </c>
      <c r="AN89" s="79">
        <f t="shared" si="18"/>
        <v>1</v>
      </c>
      <c r="AO89" s="85">
        <f t="shared" si="19"/>
        <v>0</v>
      </c>
      <c r="AP89" s="85">
        <f t="shared" si="20"/>
        <v>0</v>
      </c>
      <c r="AQ89" s="85">
        <f t="shared" si="21"/>
        <v>0</v>
      </c>
      <c r="AR89" s="85">
        <f t="shared" si="22"/>
        <v>0</v>
      </c>
      <c r="AS89" s="87">
        <f t="shared" si="23"/>
        <v>0</v>
      </c>
      <c r="AT89" s="84"/>
    </row>
    <row r="90" spans="1:46" ht="42.75" customHeight="1">
      <c r="A90" s="79">
        <v>21</v>
      </c>
      <c r="B90" s="179" t="s">
        <v>52</v>
      </c>
      <c r="C90" s="81" t="s">
        <v>53</v>
      </c>
      <c r="D90" s="85" t="s">
        <v>36</v>
      </c>
      <c r="E90" s="86" t="s">
        <v>24</v>
      </c>
      <c r="F90" s="81" t="s">
        <v>38</v>
      </c>
      <c r="G90" s="79"/>
      <c r="H90" s="79" t="s">
        <v>9</v>
      </c>
      <c r="I90" s="79" t="s">
        <v>9</v>
      </c>
      <c r="J90" s="79"/>
      <c r="K90" s="79" t="s">
        <v>9</v>
      </c>
      <c r="L90" s="79"/>
      <c r="M90" s="79" t="s">
        <v>9</v>
      </c>
      <c r="N90" s="79" t="s">
        <v>9</v>
      </c>
      <c r="O90" s="79" t="s">
        <v>9</v>
      </c>
      <c r="P90" s="79" t="s">
        <v>9</v>
      </c>
      <c r="Q90" s="79" t="s">
        <v>9</v>
      </c>
      <c r="R90" s="79" t="s">
        <v>9</v>
      </c>
      <c r="S90" s="79"/>
      <c r="T90" s="79" t="s">
        <v>9</v>
      </c>
      <c r="U90" s="79" t="s">
        <v>9</v>
      </c>
      <c r="V90" s="79" t="s">
        <v>9</v>
      </c>
      <c r="W90" s="79" t="s">
        <v>13</v>
      </c>
      <c r="X90" s="79" t="s">
        <v>9</v>
      </c>
      <c r="Y90" s="79" t="s">
        <v>9</v>
      </c>
      <c r="Z90" s="79"/>
      <c r="AA90" s="79" t="s">
        <v>9</v>
      </c>
      <c r="AB90" s="79" t="s">
        <v>9</v>
      </c>
      <c r="AC90" s="79" t="s">
        <v>9</v>
      </c>
      <c r="AD90" s="79" t="s">
        <v>9</v>
      </c>
      <c r="AE90" s="79" t="s">
        <v>9</v>
      </c>
      <c r="AF90" s="79" t="s">
        <v>9</v>
      </c>
      <c r="AG90" s="79"/>
      <c r="AH90" s="79" t="s">
        <v>9</v>
      </c>
      <c r="AI90" s="79" t="s">
        <v>9</v>
      </c>
      <c r="AJ90" s="79" t="s">
        <v>9</v>
      </c>
      <c r="AK90" s="79" t="s">
        <v>9</v>
      </c>
      <c r="AL90" s="85">
        <f t="shared" si="16"/>
        <v>24</v>
      </c>
      <c r="AM90" s="85">
        <f t="shared" si="17"/>
        <v>0</v>
      </c>
      <c r="AN90" s="79">
        <f t="shared" si="18"/>
        <v>0</v>
      </c>
      <c r="AO90" s="85">
        <f t="shared" si="19"/>
        <v>0</v>
      </c>
      <c r="AP90" s="85">
        <f t="shared" si="20"/>
        <v>0</v>
      </c>
      <c r="AQ90" s="85">
        <f t="shared" si="21"/>
        <v>1</v>
      </c>
      <c r="AR90" s="85">
        <f t="shared" si="22"/>
        <v>0</v>
      </c>
      <c r="AS90" s="87">
        <f t="shared" si="23"/>
        <v>0</v>
      </c>
      <c r="AT90" s="84"/>
    </row>
    <row r="91" spans="1:46" ht="42.75" customHeight="1">
      <c r="A91" s="85">
        <v>22</v>
      </c>
      <c r="B91" s="179" t="s">
        <v>170</v>
      </c>
      <c r="C91" s="81" t="s">
        <v>60</v>
      </c>
      <c r="D91" s="85" t="s">
        <v>54</v>
      </c>
      <c r="E91" s="86" t="s">
        <v>24</v>
      </c>
      <c r="F91" s="81" t="s">
        <v>61</v>
      </c>
      <c r="G91" s="79"/>
      <c r="H91" s="79" t="s">
        <v>9</v>
      </c>
      <c r="I91" s="79" t="s">
        <v>11</v>
      </c>
      <c r="J91" s="79"/>
      <c r="K91" s="79" t="s">
        <v>9</v>
      </c>
      <c r="L91" s="79"/>
      <c r="M91" s="79" t="s">
        <v>13</v>
      </c>
      <c r="N91" s="79" t="s">
        <v>11</v>
      </c>
      <c r="O91" s="79" t="s">
        <v>9</v>
      </c>
      <c r="P91" s="79" t="s">
        <v>9</v>
      </c>
      <c r="Q91" s="79" t="s">
        <v>9</v>
      </c>
      <c r="R91" s="79" t="s">
        <v>11</v>
      </c>
      <c r="S91" s="79"/>
      <c r="T91" s="79" t="s">
        <v>9</v>
      </c>
      <c r="U91" s="79" t="s">
        <v>9</v>
      </c>
      <c r="V91" s="79" t="s">
        <v>9</v>
      </c>
      <c r="W91" s="79" t="s">
        <v>9</v>
      </c>
      <c r="X91" s="79" t="s">
        <v>9</v>
      </c>
      <c r="Y91" s="79" t="s">
        <v>11</v>
      </c>
      <c r="Z91" s="79"/>
      <c r="AA91" s="79" t="s">
        <v>9</v>
      </c>
      <c r="AB91" s="79" t="s">
        <v>9</v>
      </c>
      <c r="AC91" s="79" t="s">
        <v>11</v>
      </c>
      <c r="AD91" s="79" t="s">
        <v>11</v>
      </c>
      <c r="AE91" s="79" t="s">
        <v>9</v>
      </c>
      <c r="AF91" s="79" t="s">
        <v>9</v>
      </c>
      <c r="AG91" s="79"/>
      <c r="AH91" s="79" t="s">
        <v>9</v>
      </c>
      <c r="AI91" s="79" t="s">
        <v>11</v>
      </c>
      <c r="AJ91" s="79" t="s">
        <v>11</v>
      </c>
      <c r="AK91" s="79" t="s">
        <v>9</v>
      </c>
      <c r="AL91" s="85">
        <f t="shared" si="16"/>
        <v>16</v>
      </c>
      <c r="AM91" s="85">
        <f t="shared" si="17"/>
        <v>0</v>
      </c>
      <c r="AN91" s="79">
        <f t="shared" si="18"/>
        <v>8</v>
      </c>
      <c r="AO91" s="85">
        <f t="shared" si="19"/>
        <v>0</v>
      </c>
      <c r="AP91" s="85">
        <f t="shared" si="20"/>
        <v>0</v>
      </c>
      <c r="AQ91" s="85">
        <f t="shared" si="21"/>
        <v>1</v>
      </c>
      <c r="AR91" s="85">
        <f t="shared" si="22"/>
        <v>0</v>
      </c>
      <c r="AS91" s="87">
        <f t="shared" si="23"/>
        <v>0</v>
      </c>
      <c r="AT91" s="84"/>
    </row>
    <row r="92" spans="1:46" ht="42.75" customHeight="1">
      <c r="A92" s="79">
        <v>23</v>
      </c>
      <c r="B92" s="179" t="s">
        <v>166</v>
      </c>
      <c r="C92" s="81" t="s">
        <v>62</v>
      </c>
      <c r="D92" s="85" t="s">
        <v>54</v>
      </c>
      <c r="E92" s="86" t="s">
        <v>24</v>
      </c>
      <c r="F92" s="81" t="s">
        <v>61</v>
      </c>
      <c r="G92" s="79"/>
      <c r="H92" s="79" t="s">
        <v>9</v>
      </c>
      <c r="I92" s="79" t="s">
        <v>9</v>
      </c>
      <c r="J92" s="79"/>
      <c r="K92" s="79" t="s">
        <v>9</v>
      </c>
      <c r="L92" s="79"/>
      <c r="M92" s="79"/>
      <c r="N92" s="79"/>
      <c r="O92" s="79" t="s">
        <v>9</v>
      </c>
      <c r="P92" s="79" t="s">
        <v>9</v>
      </c>
      <c r="Q92" s="79" t="s">
        <v>11</v>
      </c>
      <c r="R92" s="79" t="s">
        <v>9</v>
      </c>
      <c r="S92" s="79"/>
      <c r="T92" s="79" t="s">
        <v>9</v>
      </c>
      <c r="U92" s="79" t="s">
        <v>9</v>
      </c>
      <c r="V92" s="79" t="s">
        <v>9</v>
      </c>
      <c r="W92" s="79" t="s">
        <v>11</v>
      </c>
      <c r="X92" s="79" t="s">
        <v>9</v>
      </c>
      <c r="Y92" s="79" t="s">
        <v>9</v>
      </c>
      <c r="Z92" s="79"/>
      <c r="AA92" s="79" t="s">
        <v>9</v>
      </c>
      <c r="AB92" s="79" t="s">
        <v>9</v>
      </c>
      <c r="AC92" s="79" t="s">
        <v>9</v>
      </c>
      <c r="AD92" s="79" t="s">
        <v>11</v>
      </c>
      <c r="AE92" s="79"/>
      <c r="AF92" s="79"/>
      <c r="AG92" s="79"/>
      <c r="AH92" s="79"/>
      <c r="AI92" s="79"/>
      <c r="AJ92" s="79"/>
      <c r="AK92" s="79"/>
      <c r="AL92" s="85">
        <f t="shared" si="16"/>
        <v>14</v>
      </c>
      <c r="AM92" s="85">
        <f t="shared" si="17"/>
        <v>0</v>
      </c>
      <c r="AN92" s="79">
        <f t="shared" si="18"/>
        <v>3</v>
      </c>
      <c r="AO92" s="85">
        <f t="shared" si="19"/>
        <v>0</v>
      </c>
      <c r="AP92" s="85">
        <f t="shared" si="20"/>
        <v>0</v>
      </c>
      <c r="AQ92" s="85">
        <f t="shared" si="21"/>
        <v>0</v>
      </c>
      <c r="AR92" s="85">
        <f t="shared" si="22"/>
        <v>0</v>
      </c>
      <c r="AS92" s="87">
        <f t="shared" si="23"/>
        <v>0</v>
      </c>
      <c r="AT92" s="84"/>
    </row>
    <row r="93" spans="1:46" ht="42.75" customHeight="1">
      <c r="A93" s="85">
        <v>24</v>
      </c>
      <c r="B93" s="179" t="s">
        <v>171</v>
      </c>
      <c r="C93" s="81" t="s">
        <v>63</v>
      </c>
      <c r="D93" s="85" t="s">
        <v>54</v>
      </c>
      <c r="E93" s="86" t="s">
        <v>24</v>
      </c>
      <c r="F93" s="81" t="s">
        <v>61</v>
      </c>
      <c r="G93" s="79"/>
      <c r="H93" s="79" t="s">
        <v>9</v>
      </c>
      <c r="I93" s="79" t="s">
        <v>9</v>
      </c>
      <c r="J93" s="79"/>
      <c r="K93" s="79" t="s">
        <v>9</v>
      </c>
      <c r="L93" s="79"/>
      <c r="M93" s="79" t="s">
        <v>9</v>
      </c>
      <c r="N93" s="79" t="s">
        <v>11</v>
      </c>
      <c r="O93" s="79" t="s">
        <v>9</v>
      </c>
      <c r="P93" s="79" t="s">
        <v>9</v>
      </c>
      <c r="Q93" s="79" t="s">
        <v>9</v>
      </c>
      <c r="R93" s="79" t="s">
        <v>9</v>
      </c>
      <c r="S93" s="79"/>
      <c r="T93" s="79" t="s">
        <v>9</v>
      </c>
      <c r="U93" s="79" t="s">
        <v>9</v>
      </c>
      <c r="V93" s="79" t="s">
        <v>9</v>
      </c>
      <c r="W93" s="79" t="s">
        <v>9</v>
      </c>
      <c r="X93" s="79" t="s">
        <v>9</v>
      </c>
      <c r="Y93" s="79" t="s">
        <v>9</v>
      </c>
      <c r="Z93" s="79"/>
      <c r="AA93" s="79" t="s">
        <v>9</v>
      </c>
      <c r="AB93" s="79" t="s">
        <v>9</v>
      </c>
      <c r="AC93" s="79" t="s">
        <v>9</v>
      </c>
      <c r="AD93" s="79" t="s">
        <v>9</v>
      </c>
      <c r="AE93" s="79" t="s">
        <v>9</v>
      </c>
      <c r="AF93" s="79" t="s">
        <v>9</v>
      </c>
      <c r="AG93" s="79"/>
      <c r="AH93" s="79" t="s">
        <v>9</v>
      </c>
      <c r="AI93" s="79" t="s">
        <v>9</v>
      </c>
      <c r="AJ93" s="79" t="s">
        <v>9</v>
      </c>
      <c r="AK93" s="79" t="s">
        <v>9</v>
      </c>
      <c r="AL93" s="85">
        <f t="shared" si="16"/>
        <v>24</v>
      </c>
      <c r="AM93" s="85">
        <f t="shared" si="17"/>
        <v>0</v>
      </c>
      <c r="AN93" s="79">
        <f t="shared" si="18"/>
        <v>1</v>
      </c>
      <c r="AO93" s="85">
        <f t="shared" si="19"/>
        <v>0</v>
      </c>
      <c r="AP93" s="85">
        <f t="shared" si="20"/>
        <v>0</v>
      </c>
      <c r="AQ93" s="85">
        <f t="shared" si="21"/>
        <v>0</v>
      </c>
      <c r="AR93" s="85">
        <f t="shared" si="22"/>
        <v>0</v>
      </c>
      <c r="AS93" s="87">
        <f t="shared" si="23"/>
        <v>0</v>
      </c>
      <c r="AT93" s="84"/>
    </row>
    <row r="94" spans="1:46" ht="42.75" customHeight="1">
      <c r="A94" s="79">
        <v>25</v>
      </c>
      <c r="B94" s="179" t="s">
        <v>172</v>
      </c>
      <c r="C94" s="81" t="s">
        <v>64</v>
      </c>
      <c r="D94" s="85" t="s">
        <v>54</v>
      </c>
      <c r="E94" s="86" t="s">
        <v>24</v>
      </c>
      <c r="F94" s="90" t="s">
        <v>57</v>
      </c>
      <c r="G94" s="79"/>
      <c r="H94" s="79" t="s">
        <v>9</v>
      </c>
      <c r="I94" s="79" t="s">
        <v>9</v>
      </c>
      <c r="J94" s="79"/>
      <c r="K94" s="79"/>
      <c r="L94" s="79"/>
      <c r="M94" s="79" t="s">
        <v>11</v>
      </c>
      <c r="N94" s="79" t="s">
        <v>9</v>
      </c>
      <c r="O94" s="79" t="s">
        <v>9</v>
      </c>
      <c r="P94" s="79" t="s">
        <v>9</v>
      </c>
      <c r="Q94" s="79" t="s">
        <v>9</v>
      </c>
      <c r="R94" s="79" t="s">
        <v>15</v>
      </c>
      <c r="S94" s="79"/>
      <c r="T94" s="79"/>
      <c r="U94" s="79"/>
      <c r="V94" s="79" t="s">
        <v>9</v>
      </c>
      <c r="W94" s="79" t="s">
        <v>9</v>
      </c>
      <c r="X94" s="79" t="s">
        <v>9</v>
      </c>
      <c r="Y94" s="79" t="s">
        <v>9</v>
      </c>
      <c r="Z94" s="79"/>
      <c r="AA94" s="79" t="s">
        <v>9</v>
      </c>
      <c r="AB94" s="79" t="s">
        <v>9</v>
      </c>
      <c r="AC94" s="79" t="s">
        <v>9</v>
      </c>
      <c r="AD94" s="79" t="s">
        <v>9</v>
      </c>
      <c r="AE94" s="79" t="s">
        <v>9</v>
      </c>
      <c r="AF94" s="79" t="s">
        <v>9</v>
      </c>
      <c r="AG94" s="79"/>
      <c r="AH94" s="79" t="s">
        <v>9</v>
      </c>
      <c r="AI94" s="79" t="s">
        <v>9</v>
      </c>
      <c r="AJ94" s="79" t="s">
        <v>9</v>
      </c>
      <c r="AK94" s="79" t="s">
        <v>9</v>
      </c>
      <c r="AL94" s="85">
        <f t="shared" si="16"/>
        <v>20</v>
      </c>
      <c r="AM94" s="85">
        <f t="shared" si="17"/>
        <v>0</v>
      </c>
      <c r="AN94" s="79">
        <f t="shared" si="18"/>
        <v>1</v>
      </c>
      <c r="AO94" s="85">
        <f t="shared" si="19"/>
        <v>0</v>
      </c>
      <c r="AP94" s="85">
        <f t="shared" si="20"/>
        <v>0</v>
      </c>
      <c r="AQ94" s="85">
        <f t="shared" si="21"/>
        <v>0</v>
      </c>
      <c r="AR94" s="85">
        <f t="shared" si="22"/>
        <v>1</v>
      </c>
      <c r="AS94" s="87">
        <f t="shared" si="23"/>
        <v>0</v>
      </c>
      <c r="AT94" s="84"/>
    </row>
    <row r="95" spans="1:46" ht="42.75" customHeight="1">
      <c r="A95" s="85">
        <v>26</v>
      </c>
      <c r="B95" s="179" t="s">
        <v>164</v>
      </c>
      <c r="C95" s="81" t="s">
        <v>66</v>
      </c>
      <c r="D95" s="85" t="s">
        <v>54</v>
      </c>
      <c r="E95" s="86" t="s">
        <v>24</v>
      </c>
      <c r="F95" s="81" t="s">
        <v>163</v>
      </c>
      <c r="G95" s="91"/>
      <c r="H95" s="79" t="s">
        <v>9</v>
      </c>
      <c r="I95" s="79" t="s">
        <v>9</v>
      </c>
      <c r="J95" s="79"/>
      <c r="K95" s="79" t="s">
        <v>9</v>
      </c>
      <c r="L95" s="79"/>
      <c r="M95" s="79" t="s">
        <v>9</v>
      </c>
      <c r="N95" s="79" t="s">
        <v>9</v>
      </c>
      <c r="O95" s="79" t="s">
        <v>9</v>
      </c>
      <c r="P95" s="79" t="s">
        <v>9</v>
      </c>
      <c r="Q95" s="79" t="s">
        <v>9</v>
      </c>
      <c r="R95" s="79" t="s">
        <v>9</v>
      </c>
      <c r="S95" s="79"/>
      <c r="T95" s="79" t="s">
        <v>9</v>
      </c>
      <c r="U95" s="79" t="s">
        <v>9</v>
      </c>
      <c r="V95" s="79" t="s">
        <v>9</v>
      </c>
      <c r="W95" s="79" t="s">
        <v>9</v>
      </c>
      <c r="X95" s="79" t="s">
        <v>9</v>
      </c>
      <c r="Y95" s="79" t="s">
        <v>9</v>
      </c>
      <c r="Z95" s="79"/>
      <c r="AA95" s="79" t="s">
        <v>9</v>
      </c>
      <c r="AB95" s="79" t="s">
        <v>9</v>
      </c>
      <c r="AC95" s="79" t="s">
        <v>9</v>
      </c>
      <c r="AD95" s="79" t="s">
        <v>9</v>
      </c>
      <c r="AE95" s="79" t="s">
        <v>9</v>
      </c>
      <c r="AF95" s="79" t="s">
        <v>9</v>
      </c>
      <c r="AG95" s="79"/>
      <c r="AH95" s="79" t="s">
        <v>9</v>
      </c>
      <c r="AI95" s="79" t="s">
        <v>9</v>
      </c>
      <c r="AJ95" s="79" t="s">
        <v>9</v>
      </c>
      <c r="AK95" s="79" t="s">
        <v>9</v>
      </c>
      <c r="AL95" s="85">
        <f t="shared" si="16"/>
        <v>25</v>
      </c>
      <c r="AM95" s="85">
        <f t="shared" si="17"/>
        <v>0</v>
      </c>
      <c r="AN95" s="79">
        <f t="shared" si="18"/>
        <v>0</v>
      </c>
      <c r="AO95" s="85">
        <f t="shared" si="19"/>
        <v>0</v>
      </c>
      <c r="AP95" s="85">
        <f t="shared" si="20"/>
        <v>0</v>
      </c>
      <c r="AQ95" s="85">
        <f t="shared" si="21"/>
        <v>0</v>
      </c>
      <c r="AR95" s="85">
        <f t="shared" si="22"/>
        <v>0</v>
      </c>
      <c r="AS95" s="87">
        <f t="shared" si="23"/>
        <v>0</v>
      </c>
      <c r="AT95" s="84"/>
    </row>
    <row r="96" spans="1:46" s="171" customFormat="1" ht="42.75" customHeight="1">
      <c r="A96" s="172">
        <v>27</v>
      </c>
      <c r="B96" s="180" t="s">
        <v>89</v>
      </c>
      <c r="C96" s="173" t="s">
        <v>177</v>
      </c>
      <c r="D96" s="172" t="s">
        <v>93</v>
      </c>
      <c r="E96" s="174" t="s">
        <v>24</v>
      </c>
      <c r="F96" s="173" t="s">
        <v>94</v>
      </c>
      <c r="G96" s="175"/>
      <c r="H96" s="175" t="s">
        <v>9</v>
      </c>
      <c r="I96" s="175" t="s">
        <v>9</v>
      </c>
      <c r="J96" s="175"/>
      <c r="K96" s="175" t="s">
        <v>9</v>
      </c>
      <c r="L96" s="175"/>
      <c r="M96" s="175" t="s">
        <v>9</v>
      </c>
      <c r="N96" s="175" t="s">
        <v>9</v>
      </c>
      <c r="O96" s="175" t="s">
        <v>9</v>
      </c>
      <c r="P96" s="175" t="s">
        <v>9</v>
      </c>
      <c r="Q96" s="175" t="s">
        <v>9</v>
      </c>
      <c r="R96" s="175" t="s">
        <v>9</v>
      </c>
      <c r="S96" s="175"/>
      <c r="T96" s="175" t="s">
        <v>9</v>
      </c>
      <c r="U96" s="175" t="s">
        <v>9</v>
      </c>
      <c r="V96" s="175" t="s">
        <v>9</v>
      </c>
      <c r="W96" s="175" t="s">
        <v>9</v>
      </c>
      <c r="X96" s="175" t="s">
        <v>9</v>
      </c>
      <c r="Y96" s="175" t="s">
        <v>9</v>
      </c>
      <c r="Z96" s="175"/>
      <c r="AA96" s="175" t="s">
        <v>9</v>
      </c>
      <c r="AB96" s="175" t="s">
        <v>9</v>
      </c>
      <c r="AC96" s="175" t="s">
        <v>11</v>
      </c>
      <c r="AD96" s="175" t="s">
        <v>9</v>
      </c>
      <c r="AE96" s="175" t="s">
        <v>9</v>
      </c>
      <c r="AF96" s="175" t="s">
        <v>9</v>
      </c>
      <c r="AG96" s="175"/>
      <c r="AH96" s="175"/>
      <c r="AI96" s="175" t="s">
        <v>9</v>
      </c>
      <c r="AJ96" s="175" t="s">
        <v>9</v>
      </c>
      <c r="AK96" s="175" t="s">
        <v>11</v>
      </c>
      <c r="AL96" s="172">
        <f t="shared" si="16"/>
        <v>22</v>
      </c>
      <c r="AM96" s="172">
        <f t="shared" si="17"/>
        <v>0</v>
      </c>
      <c r="AN96" s="175">
        <f t="shared" si="18"/>
        <v>2</v>
      </c>
      <c r="AO96" s="172">
        <f t="shared" si="19"/>
        <v>0</v>
      </c>
      <c r="AP96" s="172">
        <f t="shared" si="20"/>
        <v>0</v>
      </c>
      <c r="AQ96" s="172">
        <f t="shared" si="21"/>
        <v>0</v>
      </c>
      <c r="AR96" s="172">
        <f t="shared" si="22"/>
        <v>0</v>
      </c>
      <c r="AS96" s="176">
        <f t="shared" si="23"/>
        <v>0</v>
      </c>
      <c r="AT96" s="182">
        <v>15</v>
      </c>
    </row>
    <row r="97" spans="1:46" s="171" customFormat="1" ht="42.75" customHeight="1">
      <c r="A97" s="172">
        <v>28</v>
      </c>
      <c r="B97" s="180" t="s">
        <v>165</v>
      </c>
      <c r="C97" s="173" t="s">
        <v>72</v>
      </c>
      <c r="D97" s="172" t="s">
        <v>93</v>
      </c>
      <c r="E97" s="174" t="s">
        <v>73</v>
      </c>
      <c r="F97" s="181" t="s">
        <v>57</v>
      </c>
      <c r="G97" s="175"/>
      <c r="H97" s="175" t="s">
        <v>9</v>
      </c>
      <c r="I97" s="175" t="s">
        <v>9</v>
      </c>
      <c r="J97" s="175"/>
      <c r="K97" s="175" t="s">
        <v>9</v>
      </c>
      <c r="L97" s="175"/>
      <c r="M97" s="175" t="s">
        <v>13</v>
      </c>
      <c r="N97" s="175" t="s">
        <v>9</v>
      </c>
      <c r="O97" s="175" t="s">
        <v>9</v>
      </c>
      <c r="P97" s="175" t="s">
        <v>9</v>
      </c>
      <c r="Q97" s="175" t="s">
        <v>13</v>
      </c>
      <c r="R97" s="175" t="s">
        <v>11</v>
      </c>
      <c r="S97" s="175"/>
      <c r="T97" s="175" t="s">
        <v>9</v>
      </c>
      <c r="U97" s="175" t="s">
        <v>9</v>
      </c>
      <c r="V97" s="175" t="s">
        <v>9</v>
      </c>
      <c r="W97" s="175" t="s">
        <v>9</v>
      </c>
      <c r="X97" s="175" t="s">
        <v>9</v>
      </c>
      <c r="Y97" s="175" t="s">
        <v>9</v>
      </c>
      <c r="Z97" s="175"/>
      <c r="AA97" s="175" t="s">
        <v>9</v>
      </c>
      <c r="AB97" s="175" t="s">
        <v>13</v>
      </c>
      <c r="AC97" s="175" t="s">
        <v>9</v>
      </c>
      <c r="AD97" s="175" t="s">
        <v>9</v>
      </c>
      <c r="AE97" s="175" t="s">
        <v>9</v>
      </c>
      <c r="AF97" s="175" t="s">
        <v>9</v>
      </c>
      <c r="AG97" s="175"/>
      <c r="AH97" s="175" t="s">
        <v>9</v>
      </c>
      <c r="AI97" s="175" t="s">
        <v>9</v>
      </c>
      <c r="AJ97" s="175" t="s">
        <v>9</v>
      </c>
      <c r="AK97" s="175" t="s">
        <v>9</v>
      </c>
      <c r="AL97" s="172">
        <f t="shared" si="16"/>
        <v>21</v>
      </c>
      <c r="AM97" s="172">
        <f t="shared" si="17"/>
        <v>0</v>
      </c>
      <c r="AN97" s="175">
        <f t="shared" si="18"/>
        <v>1</v>
      </c>
      <c r="AO97" s="172">
        <f t="shared" si="19"/>
        <v>0</v>
      </c>
      <c r="AP97" s="172">
        <f t="shared" si="20"/>
        <v>0</v>
      </c>
      <c r="AQ97" s="172">
        <f t="shared" si="21"/>
        <v>3</v>
      </c>
      <c r="AR97" s="172">
        <f t="shared" si="22"/>
        <v>0</v>
      </c>
      <c r="AS97" s="176">
        <f t="shared" si="23"/>
        <v>0</v>
      </c>
      <c r="AT97" s="177"/>
    </row>
    <row r="98" spans="1:46" s="171" customFormat="1" ht="42.75" customHeight="1">
      <c r="A98" s="175">
        <v>29</v>
      </c>
      <c r="B98" s="180" t="s">
        <v>67</v>
      </c>
      <c r="C98" s="173" t="s">
        <v>68</v>
      </c>
      <c r="D98" s="172" t="s">
        <v>93</v>
      </c>
      <c r="E98" s="183" t="s">
        <v>24</v>
      </c>
      <c r="F98" s="181" t="s">
        <v>57</v>
      </c>
      <c r="G98" s="184"/>
      <c r="H98" s="175" t="s">
        <v>9</v>
      </c>
      <c r="I98" s="175" t="s">
        <v>9</v>
      </c>
      <c r="J98" s="175"/>
      <c r="K98" s="175" t="s">
        <v>9</v>
      </c>
      <c r="L98" s="175"/>
      <c r="M98" s="175" t="s">
        <v>9</v>
      </c>
      <c r="N98" s="175" t="s">
        <v>9</v>
      </c>
      <c r="O98" s="175" t="s">
        <v>9</v>
      </c>
      <c r="P98" s="175" t="s">
        <v>9</v>
      </c>
      <c r="Q98" s="175" t="s">
        <v>9</v>
      </c>
      <c r="R98" s="175" t="s">
        <v>9</v>
      </c>
      <c r="S98" s="175"/>
      <c r="T98" s="175" t="s">
        <v>9</v>
      </c>
      <c r="U98" s="175" t="s">
        <v>9</v>
      </c>
      <c r="V98" s="175" t="s">
        <v>9</v>
      </c>
      <c r="W98" s="175" t="s">
        <v>9</v>
      </c>
      <c r="X98" s="175" t="s">
        <v>9</v>
      </c>
      <c r="Y98" s="175" t="s">
        <v>9</v>
      </c>
      <c r="Z98" s="175"/>
      <c r="AA98" s="175" t="s">
        <v>9</v>
      </c>
      <c r="AB98" s="175" t="s">
        <v>9</v>
      </c>
      <c r="AC98" s="175" t="s">
        <v>9</v>
      </c>
      <c r="AD98" s="175" t="s">
        <v>9</v>
      </c>
      <c r="AE98" s="175" t="s">
        <v>9</v>
      </c>
      <c r="AF98" s="175" t="s">
        <v>9</v>
      </c>
      <c r="AG98" s="175"/>
      <c r="AH98" s="175" t="s">
        <v>9</v>
      </c>
      <c r="AI98" s="175" t="s">
        <v>9</v>
      </c>
      <c r="AJ98" s="175" t="s">
        <v>9</v>
      </c>
      <c r="AK98" s="175" t="s">
        <v>9</v>
      </c>
      <c r="AL98" s="172">
        <f t="shared" si="16"/>
        <v>25</v>
      </c>
      <c r="AM98" s="172">
        <f t="shared" si="17"/>
        <v>0</v>
      </c>
      <c r="AN98" s="175">
        <f t="shared" si="18"/>
        <v>0</v>
      </c>
      <c r="AO98" s="172">
        <f t="shared" si="19"/>
        <v>0</v>
      </c>
      <c r="AP98" s="172">
        <f t="shared" si="20"/>
        <v>0</v>
      </c>
      <c r="AQ98" s="172">
        <f t="shared" si="21"/>
        <v>0</v>
      </c>
      <c r="AR98" s="172">
        <f t="shared" si="22"/>
        <v>0</v>
      </c>
      <c r="AS98" s="176">
        <f t="shared" si="23"/>
        <v>0</v>
      </c>
      <c r="AT98" s="177"/>
    </row>
    <row r="99" spans="1:46" s="171" customFormat="1" ht="42.75" customHeight="1">
      <c r="A99" s="172">
        <v>30</v>
      </c>
      <c r="B99" s="180" t="s">
        <v>69</v>
      </c>
      <c r="C99" s="173" t="s">
        <v>70</v>
      </c>
      <c r="D99" s="172" t="s">
        <v>120</v>
      </c>
      <c r="E99" s="183" t="s">
        <v>24</v>
      </c>
      <c r="F99" s="173" t="s">
        <v>71</v>
      </c>
      <c r="G99" s="184"/>
      <c r="H99" s="175" t="s">
        <v>13</v>
      </c>
      <c r="I99" s="175" t="s">
        <v>13</v>
      </c>
      <c r="J99" s="175"/>
      <c r="K99" s="175" t="s">
        <v>15</v>
      </c>
      <c r="L99" s="175"/>
      <c r="M99" s="175" t="s">
        <v>13</v>
      </c>
      <c r="N99" s="175" t="s">
        <v>9</v>
      </c>
      <c r="O99" s="175" t="s">
        <v>9</v>
      </c>
      <c r="P99" s="175" t="s">
        <v>9</v>
      </c>
      <c r="Q99" s="175" t="s">
        <v>9</v>
      </c>
      <c r="R99" s="175" t="s">
        <v>15</v>
      </c>
      <c r="S99" s="175"/>
      <c r="T99" s="175" t="s">
        <v>9</v>
      </c>
      <c r="U99" s="175" t="s">
        <v>9</v>
      </c>
      <c r="V99" s="175" t="s">
        <v>9</v>
      </c>
      <c r="W99" s="175" t="s">
        <v>9</v>
      </c>
      <c r="X99" s="175" t="s">
        <v>9</v>
      </c>
      <c r="Y99" s="175" t="s">
        <v>9</v>
      </c>
      <c r="Z99" s="175"/>
      <c r="AA99" s="175" t="s">
        <v>9</v>
      </c>
      <c r="AB99" s="175" t="s">
        <v>9</v>
      </c>
      <c r="AC99" s="175" t="s">
        <v>9</v>
      </c>
      <c r="AD99" s="175" t="s">
        <v>9</v>
      </c>
      <c r="AE99" s="175" t="s">
        <v>9</v>
      </c>
      <c r="AF99" s="175" t="s">
        <v>15</v>
      </c>
      <c r="AG99" s="175"/>
      <c r="AH99" s="175" t="s">
        <v>9</v>
      </c>
      <c r="AI99" s="175" t="s">
        <v>9</v>
      </c>
      <c r="AJ99" s="175" t="s">
        <v>9</v>
      </c>
      <c r="AK99" s="175" t="s">
        <v>9</v>
      </c>
      <c r="AL99" s="172">
        <f t="shared" si="16"/>
        <v>19</v>
      </c>
      <c r="AM99" s="172">
        <f t="shared" si="17"/>
        <v>0</v>
      </c>
      <c r="AN99" s="175">
        <f t="shared" si="18"/>
        <v>0</v>
      </c>
      <c r="AO99" s="172">
        <f t="shared" si="19"/>
        <v>0</v>
      </c>
      <c r="AP99" s="172">
        <f t="shared" si="20"/>
        <v>0</v>
      </c>
      <c r="AQ99" s="172">
        <f t="shared" si="21"/>
        <v>3</v>
      </c>
      <c r="AR99" s="172">
        <f t="shared" si="22"/>
        <v>3</v>
      </c>
      <c r="AS99" s="176">
        <f t="shared" si="23"/>
        <v>0</v>
      </c>
      <c r="AT99" s="182">
        <v>15</v>
      </c>
    </row>
    <row r="100" spans="1:46" s="171" customFormat="1" ht="52.5" customHeight="1">
      <c r="A100" s="175">
        <v>31</v>
      </c>
      <c r="B100" s="180" t="s">
        <v>188</v>
      </c>
      <c r="C100" s="173" t="s">
        <v>74</v>
      </c>
      <c r="D100" s="172" t="s">
        <v>93</v>
      </c>
      <c r="E100" s="174" t="s">
        <v>73</v>
      </c>
      <c r="F100" s="181" t="s">
        <v>57</v>
      </c>
      <c r="G100" s="175"/>
      <c r="H100" s="175" t="s">
        <v>9</v>
      </c>
      <c r="I100" s="175" t="s">
        <v>9</v>
      </c>
      <c r="J100" s="175"/>
      <c r="K100" s="175" t="s">
        <v>9</v>
      </c>
      <c r="L100" s="175"/>
      <c r="M100" s="175" t="s">
        <v>9</v>
      </c>
      <c r="N100" s="175" t="s">
        <v>9</v>
      </c>
      <c r="O100" s="175" t="s">
        <v>9</v>
      </c>
      <c r="P100" s="175" t="s">
        <v>9</v>
      </c>
      <c r="Q100" s="175" t="s">
        <v>9</v>
      </c>
      <c r="R100" s="175" t="s">
        <v>9</v>
      </c>
      <c r="S100" s="175"/>
      <c r="T100" s="175" t="s">
        <v>9</v>
      </c>
      <c r="U100" s="175" t="s">
        <v>9</v>
      </c>
      <c r="V100" s="175" t="s">
        <v>9</v>
      </c>
      <c r="W100" s="175" t="s">
        <v>9</v>
      </c>
      <c r="X100" s="175" t="s">
        <v>9</v>
      </c>
      <c r="Y100" s="175" t="s">
        <v>9</v>
      </c>
      <c r="Z100" s="175"/>
      <c r="AA100" s="175" t="s">
        <v>9</v>
      </c>
      <c r="AB100" s="175" t="s">
        <v>9</v>
      </c>
      <c r="AC100" s="175" t="s">
        <v>9</v>
      </c>
      <c r="AD100" s="175" t="s">
        <v>9</v>
      </c>
      <c r="AE100" s="175" t="s">
        <v>9</v>
      </c>
      <c r="AF100" s="175" t="s">
        <v>9</v>
      </c>
      <c r="AG100" s="175"/>
      <c r="AH100" s="175" t="s">
        <v>9</v>
      </c>
      <c r="AI100" s="175" t="s">
        <v>9</v>
      </c>
      <c r="AJ100" s="175" t="s">
        <v>9</v>
      </c>
      <c r="AK100" s="175" t="s">
        <v>9</v>
      </c>
      <c r="AL100" s="172">
        <f t="shared" si="16"/>
        <v>25</v>
      </c>
      <c r="AM100" s="172">
        <f t="shared" si="17"/>
        <v>0</v>
      </c>
      <c r="AN100" s="175">
        <f t="shared" si="18"/>
        <v>0</v>
      </c>
      <c r="AO100" s="172">
        <f t="shared" si="19"/>
        <v>0</v>
      </c>
      <c r="AP100" s="172">
        <f t="shared" si="20"/>
        <v>0</v>
      </c>
      <c r="AQ100" s="172">
        <f t="shared" si="21"/>
        <v>0</v>
      </c>
      <c r="AR100" s="172">
        <f t="shared" si="22"/>
        <v>0</v>
      </c>
      <c r="AS100" s="176">
        <f t="shared" si="23"/>
        <v>0</v>
      </c>
      <c r="AT100" s="185" t="s">
        <v>191</v>
      </c>
    </row>
    <row r="101" spans="1:46" s="171" customFormat="1" ht="42.75" customHeight="1">
      <c r="A101" s="172">
        <v>32</v>
      </c>
      <c r="B101" s="180" t="s">
        <v>173</v>
      </c>
      <c r="C101" s="173" t="s">
        <v>178</v>
      </c>
      <c r="D101" s="172" t="s">
        <v>120</v>
      </c>
      <c r="E101" s="174" t="s">
        <v>24</v>
      </c>
      <c r="F101" s="186" t="s">
        <v>184</v>
      </c>
      <c r="G101" s="175"/>
      <c r="H101" s="175" t="s">
        <v>9</v>
      </c>
      <c r="I101" s="175" t="s">
        <v>9</v>
      </c>
      <c r="J101" s="175"/>
      <c r="K101" s="175" t="s">
        <v>11</v>
      </c>
      <c r="L101" s="175"/>
      <c r="M101" s="175" t="s">
        <v>9</v>
      </c>
      <c r="N101" s="175" t="s">
        <v>9</v>
      </c>
      <c r="O101" s="175" t="s">
        <v>9</v>
      </c>
      <c r="P101" s="175" t="s">
        <v>9</v>
      </c>
      <c r="Q101" s="175" t="s">
        <v>9</v>
      </c>
      <c r="R101" s="175" t="s">
        <v>9</v>
      </c>
      <c r="S101" s="175"/>
      <c r="T101" s="175" t="s">
        <v>9</v>
      </c>
      <c r="U101" s="175" t="s">
        <v>9</v>
      </c>
      <c r="V101" s="175"/>
      <c r="W101" s="175" t="s">
        <v>9</v>
      </c>
      <c r="X101" s="175" t="s">
        <v>9</v>
      </c>
      <c r="Y101" s="175" t="s">
        <v>9</v>
      </c>
      <c r="Z101" s="175"/>
      <c r="AA101" s="175" t="s">
        <v>9</v>
      </c>
      <c r="AB101" s="175" t="s">
        <v>9</v>
      </c>
      <c r="AC101" s="175" t="s">
        <v>11</v>
      </c>
      <c r="AD101" s="175" t="s">
        <v>9</v>
      </c>
      <c r="AE101" s="175" t="s">
        <v>9</v>
      </c>
      <c r="AF101" s="175"/>
      <c r="AG101" s="175"/>
      <c r="AH101" s="175" t="s">
        <v>11</v>
      </c>
      <c r="AI101" s="175" t="s">
        <v>9</v>
      </c>
      <c r="AJ101" s="175" t="s">
        <v>9</v>
      </c>
      <c r="AK101" s="175" t="s">
        <v>11</v>
      </c>
      <c r="AL101" s="172">
        <f t="shared" si="16"/>
        <v>19</v>
      </c>
      <c r="AM101" s="172">
        <f t="shared" si="17"/>
        <v>0</v>
      </c>
      <c r="AN101" s="175">
        <f t="shared" si="18"/>
        <v>4</v>
      </c>
      <c r="AO101" s="172">
        <f t="shared" si="19"/>
        <v>0</v>
      </c>
      <c r="AP101" s="172">
        <f t="shared" si="20"/>
        <v>0</v>
      </c>
      <c r="AQ101" s="172">
        <f t="shared" si="21"/>
        <v>0</v>
      </c>
      <c r="AR101" s="172">
        <f t="shared" si="22"/>
        <v>0</v>
      </c>
      <c r="AS101" s="176">
        <f t="shared" si="23"/>
        <v>0</v>
      </c>
      <c r="AT101" s="182" t="s">
        <v>194</v>
      </c>
    </row>
    <row r="102" spans="1:46" s="171" customFormat="1" ht="42.75" customHeight="1">
      <c r="A102" s="175">
        <v>33</v>
      </c>
      <c r="B102" s="180" t="s">
        <v>75</v>
      </c>
      <c r="C102" s="173" t="s">
        <v>76</v>
      </c>
      <c r="D102" s="172" t="s">
        <v>185</v>
      </c>
      <c r="E102" s="174" t="s">
        <v>24</v>
      </c>
      <c r="F102" s="186" t="s">
        <v>186</v>
      </c>
      <c r="G102" s="175"/>
      <c r="H102" s="175" t="s">
        <v>9</v>
      </c>
      <c r="I102" s="175" t="s">
        <v>9</v>
      </c>
      <c r="J102" s="175"/>
      <c r="K102" s="175" t="s">
        <v>9</v>
      </c>
      <c r="L102" s="175"/>
      <c r="M102" s="175" t="s">
        <v>9</v>
      </c>
      <c r="N102" s="175"/>
      <c r="O102" s="175" t="s">
        <v>9</v>
      </c>
      <c r="P102" s="175" t="s">
        <v>9</v>
      </c>
      <c r="Q102" s="175" t="s">
        <v>9</v>
      </c>
      <c r="R102" s="175" t="s">
        <v>9</v>
      </c>
      <c r="S102" s="175"/>
      <c r="T102" s="175" t="s">
        <v>9</v>
      </c>
      <c r="U102" s="175" t="s">
        <v>9</v>
      </c>
      <c r="V102" s="175" t="s">
        <v>9</v>
      </c>
      <c r="W102" s="175" t="s">
        <v>9</v>
      </c>
      <c r="X102" s="175" t="s">
        <v>9</v>
      </c>
      <c r="Y102" s="175" t="s">
        <v>9</v>
      </c>
      <c r="Z102" s="175"/>
      <c r="AA102" s="175"/>
      <c r="AB102" s="175" t="s">
        <v>9</v>
      </c>
      <c r="AC102" s="175" t="s">
        <v>9</v>
      </c>
      <c r="AD102" s="175" t="s">
        <v>9</v>
      </c>
      <c r="AE102" s="175"/>
      <c r="AF102" s="175" t="s">
        <v>9</v>
      </c>
      <c r="AG102" s="175"/>
      <c r="AH102" s="175" t="s">
        <v>13</v>
      </c>
      <c r="AI102" s="175" t="s">
        <v>9</v>
      </c>
      <c r="AJ102" s="175" t="s">
        <v>11</v>
      </c>
      <c r="AK102" s="175" t="s">
        <v>9</v>
      </c>
      <c r="AL102" s="172">
        <f t="shared" ref="AL102:AL119" si="24">COUNTIF(H102:AK102,"H")</f>
        <v>20</v>
      </c>
      <c r="AM102" s="172">
        <f t="shared" ref="AM102:AM119" si="25">COUNTIF(H102:AK102,"S")</f>
        <v>0</v>
      </c>
      <c r="AN102" s="175">
        <f t="shared" ref="AN102:AN119" si="26">COUNTIF(H102:AK102,"I")</f>
        <v>1</v>
      </c>
      <c r="AO102" s="172">
        <f t="shared" ref="AO102:AO119" si="27">COUNTIF(H102:AK102,"C")</f>
        <v>0</v>
      </c>
      <c r="AP102" s="172">
        <f t="shared" si="20"/>
        <v>0</v>
      </c>
      <c r="AQ102" s="172">
        <f t="shared" si="21"/>
        <v>1</v>
      </c>
      <c r="AR102" s="172">
        <f t="shared" ref="AR102:AR119" si="28">COUNTIF(H102:AK102,"IB")</f>
        <v>0</v>
      </c>
      <c r="AS102" s="176">
        <f t="shared" ref="AS102:AS119" si="29">COUNTIF(H102:AK102,"TK")</f>
        <v>0</v>
      </c>
      <c r="AT102" s="182" t="s">
        <v>193</v>
      </c>
    </row>
    <row r="103" spans="1:46" s="171" customFormat="1" ht="42.75" customHeight="1">
      <c r="A103" s="172">
        <v>34</v>
      </c>
      <c r="B103" s="180" t="s">
        <v>108</v>
      </c>
      <c r="C103" s="187" t="s">
        <v>116</v>
      </c>
      <c r="D103" s="172" t="s">
        <v>106</v>
      </c>
      <c r="E103" s="172" t="s">
        <v>24</v>
      </c>
      <c r="F103" s="188" t="s">
        <v>107</v>
      </c>
      <c r="G103" s="189"/>
      <c r="H103" s="175" t="s">
        <v>9</v>
      </c>
      <c r="I103" s="175" t="s">
        <v>11</v>
      </c>
      <c r="J103" s="175"/>
      <c r="K103" s="175" t="s">
        <v>9</v>
      </c>
      <c r="L103" s="175"/>
      <c r="M103" s="175" t="s">
        <v>9</v>
      </c>
      <c r="N103" s="175" t="s">
        <v>9</v>
      </c>
      <c r="O103" s="175" t="s">
        <v>11</v>
      </c>
      <c r="P103" s="175" t="s">
        <v>11</v>
      </c>
      <c r="Q103" s="175" t="s">
        <v>11</v>
      </c>
      <c r="R103" s="175" t="s">
        <v>11</v>
      </c>
      <c r="S103" s="175"/>
      <c r="T103" s="175" t="s">
        <v>11</v>
      </c>
      <c r="U103" s="175" t="s">
        <v>11</v>
      </c>
      <c r="V103" s="175" t="s">
        <v>9</v>
      </c>
      <c r="W103" s="175" t="s">
        <v>9</v>
      </c>
      <c r="X103" s="175" t="s">
        <v>9</v>
      </c>
      <c r="Y103" s="175" t="s">
        <v>9</v>
      </c>
      <c r="Z103" s="175"/>
      <c r="AA103" s="175" t="s">
        <v>9</v>
      </c>
      <c r="AB103" s="175" t="s">
        <v>9</v>
      </c>
      <c r="AC103" s="175" t="s">
        <v>9</v>
      </c>
      <c r="AD103" s="175" t="s">
        <v>11</v>
      </c>
      <c r="AE103" s="175" t="s">
        <v>9</v>
      </c>
      <c r="AF103" s="175" t="s">
        <v>11</v>
      </c>
      <c r="AG103" s="175"/>
      <c r="AH103" s="175" t="s">
        <v>11</v>
      </c>
      <c r="AI103" s="175" t="s">
        <v>9</v>
      </c>
      <c r="AJ103" s="175" t="s">
        <v>13</v>
      </c>
      <c r="AK103" s="175" t="s">
        <v>9</v>
      </c>
      <c r="AL103" s="172">
        <f t="shared" si="24"/>
        <v>14</v>
      </c>
      <c r="AM103" s="172">
        <f t="shared" si="25"/>
        <v>0</v>
      </c>
      <c r="AN103" s="175">
        <f t="shared" si="26"/>
        <v>10</v>
      </c>
      <c r="AO103" s="172">
        <f t="shared" si="27"/>
        <v>0</v>
      </c>
      <c r="AP103" s="172">
        <f t="shared" si="20"/>
        <v>0</v>
      </c>
      <c r="AQ103" s="172">
        <f t="shared" si="21"/>
        <v>1</v>
      </c>
      <c r="AR103" s="172">
        <f t="shared" si="28"/>
        <v>0</v>
      </c>
      <c r="AS103" s="176">
        <f t="shared" si="29"/>
        <v>0</v>
      </c>
      <c r="AT103" s="182" t="s">
        <v>195</v>
      </c>
    </row>
    <row r="104" spans="1:46" s="171" customFormat="1" ht="42.75" customHeight="1">
      <c r="A104" s="172">
        <v>35</v>
      </c>
      <c r="B104" s="180" t="s">
        <v>174</v>
      </c>
      <c r="C104" s="187" t="s">
        <v>117</v>
      </c>
      <c r="D104" s="172" t="s">
        <v>106</v>
      </c>
      <c r="E104" s="174" t="s">
        <v>24</v>
      </c>
      <c r="F104" s="188" t="s">
        <v>111</v>
      </c>
      <c r="G104" s="190"/>
      <c r="H104" s="175" t="s">
        <v>9</v>
      </c>
      <c r="I104" s="175" t="s">
        <v>9</v>
      </c>
      <c r="J104" s="175"/>
      <c r="K104" s="175" t="s">
        <v>9</v>
      </c>
      <c r="L104" s="175"/>
      <c r="M104" s="175" t="s">
        <v>9</v>
      </c>
      <c r="N104" s="175" t="s">
        <v>9</v>
      </c>
      <c r="O104" s="175" t="s">
        <v>9</v>
      </c>
      <c r="P104" s="175" t="s">
        <v>9</v>
      </c>
      <c r="Q104" s="175" t="s">
        <v>9</v>
      </c>
      <c r="R104" s="175" t="s">
        <v>9</v>
      </c>
      <c r="S104" s="175"/>
      <c r="T104" s="175" t="s">
        <v>9</v>
      </c>
      <c r="U104" s="175" t="s">
        <v>9</v>
      </c>
      <c r="V104" s="175"/>
      <c r="W104" s="175" t="s">
        <v>9</v>
      </c>
      <c r="X104" s="175" t="s">
        <v>9</v>
      </c>
      <c r="Y104" s="175" t="s">
        <v>9</v>
      </c>
      <c r="Z104" s="175"/>
      <c r="AA104" s="175" t="s">
        <v>9</v>
      </c>
      <c r="AB104" s="175" t="s">
        <v>9</v>
      </c>
      <c r="AC104" s="175" t="s">
        <v>9</v>
      </c>
      <c r="AD104" s="175" t="s">
        <v>9</v>
      </c>
      <c r="AE104" s="175" t="s">
        <v>9</v>
      </c>
      <c r="AF104" s="175" t="s">
        <v>9</v>
      </c>
      <c r="AG104" s="175"/>
      <c r="AH104" s="175" t="s">
        <v>9</v>
      </c>
      <c r="AI104" s="175" t="s">
        <v>9</v>
      </c>
      <c r="AJ104" s="175" t="s">
        <v>9</v>
      </c>
      <c r="AK104" s="175" t="s">
        <v>9</v>
      </c>
      <c r="AL104" s="172">
        <f t="shared" si="24"/>
        <v>24</v>
      </c>
      <c r="AM104" s="172">
        <f t="shared" si="25"/>
        <v>0</v>
      </c>
      <c r="AN104" s="175">
        <f t="shared" si="26"/>
        <v>0</v>
      </c>
      <c r="AO104" s="172">
        <f t="shared" si="27"/>
        <v>0</v>
      </c>
      <c r="AP104" s="172">
        <f t="shared" si="20"/>
        <v>0</v>
      </c>
      <c r="AQ104" s="172">
        <f t="shared" si="21"/>
        <v>0</v>
      </c>
      <c r="AR104" s="172">
        <f t="shared" si="28"/>
        <v>0</v>
      </c>
      <c r="AS104" s="176">
        <f t="shared" si="29"/>
        <v>0</v>
      </c>
      <c r="AT104" s="182" t="s">
        <v>196</v>
      </c>
    </row>
    <row r="105" spans="1:46" s="171" customFormat="1" ht="42.75" customHeight="1">
      <c r="A105" s="172">
        <v>36</v>
      </c>
      <c r="B105" s="180" t="s">
        <v>112</v>
      </c>
      <c r="C105" s="187" t="s">
        <v>118</v>
      </c>
      <c r="D105" s="172" t="s">
        <v>106</v>
      </c>
      <c r="E105" s="174" t="s">
        <v>24</v>
      </c>
      <c r="F105" s="188" t="s">
        <v>113</v>
      </c>
      <c r="G105" s="190"/>
      <c r="H105" s="175"/>
      <c r="I105" s="175" t="s">
        <v>9</v>
      </c>
      <c r="J105" s="175"/>
      <c r="K105" s="175" t="s">
        <v>9</v>
      </c>
      <c r="L105" s="175"/>
      <c r="M105" s="175" t="s">
        <v>9</v>
      </c>
      <c r="N105" s="175" t="s">
        <v>9</v>
      </c>
      <c r="O105" s="175" t="s">
        <v>9</v>
      </c>
      <c r="P105" s="175" t="s">
        <v>9</v>
      </c>
      <c r="Q105" s="175" t="s">
        <v>9</v>
      </c>
      <c r="R105" s="175"/>
      <c r="S105" s="175"/>
      <c r="T105" s="175" t="s">
        <v>9</v>
      </c>
      <c r="U105" s="175" t="s">
        <v>9</v>
      </c>
      <c r="V105" s="175" t="s">
        <v>9</v>
      </c>
      <c r="W105" s="175" t="s">
        <v>13</v>
      </c>
      <c r="X105" s="175" t="s">
        <v>9</v>
      </c>
      <c r="Y105" s="175" t="s">
        <v>9</v>
      </c>
      <c r="Z105" s="175"/>
      <c r="AA105" s="175" t="s">
        <v>9</v>
      </c>
      <c r="AB105" s="175" t="s">
        <v>13</v>
      </c>
      <c r="AC105" s="175" t="s">
        <v>9</v>
      </c>
      <c r="AD105" s="175" t="s">
        <v>9</v>
      </c>
      <c r="AE105" s="175"/>
      <c r="AF105" s="175" t="s">
        <v>9</v>
      </c>
      <c r="AG105" s="175"/>
      <c r="AH105" s="175" t="s">
        <v>9</v>
      </c>
      <c r="AI105" s="175" t="s">
        <v>13</v>
      </c>
      <c r="AJ105" s="175" t="s">
        <v>9</v>
      </c>
      <c r="AK105" s="175" t="s">
        <v>9</v>
      </c>
      <c r="AL105" s="172">
        <f t="shared" si="24"/>
        <v>19</v>
      </c>
      <c r="AM105" s="172">
        <f t="shared" si="25"/>
        <v>0</v>
      </c>
      <c r="AN105" s="172">
        <f t="shared" si="26"/>
        <v>0</v>
      </c>
      <c r="AO105" s="172">
        <f t="shared" si="27"/>
        <v>0</v>
      </c>
      <c r="AP105" s="172">
        <f t="shared" si="20"/>
        <v>0</v>
      </c>
      <c r="AQ105" s="172">
        <f t="shared" si="21"/>
        <v>3</v>
      </c>
      <c r="AR105" s="172">
        <f t="shared" si="28"/>
        <v>0</v>
      </c>
      <c r="AS105" s="176">
        <f t="shared" si="29"/>
        <v>0</v>
      </c>
      <c r="AT105" s="182" t="s">
        <v>197</v>
      </c>
    </row>
    <row r="106" spans="1:46" s="171" customFormat="1" ht="42.75" customHeight="1">
      <c r="A106" s="175">
        <v>37</v>
      </c>
      <c r="B106" s="180" t="s">
        <v>81</v>
      </c>
      <c r="C106" s="187" t="s">
        <v>119</v>
      </c>
      <c r="D106" s="172" t="s">
        <v>114</v>
      </c>
      <c r="E106" s="174" t="s">
        <v>24</v>
      </c>
      <c r="F106" s="188" t="s">
        <v>115</v>
      </c>
      <c r="G106" s="190"/>
      <c r="H106" s="175" t="s">
        <v>9</v>
      </c>
      <c r="I106" s="175" t="s">
        <v>9</v>
      </c>
      <c r="J106" s="175"/>
      <c r="K106" s="175"/>
      <c r="L106" s="175"/>
      <c r="M106" s="175" t="s">
        <v>9</v>
      </c>
      <c r="N106" s="175" t="s">
        <v>9</v>
      </c>
      <c r="O106" s="175" t="s">
        <v>9</v>
      </c>
      <c r="P106" s="175" t="s">
        <v>9</v>
      </c>
      <c r="Q106" s="175" t="s">
        <v>9</v>
      </c>
      <c r="R106" s="175" t="s">
        <v>9</v>
      </c>
      <c r="S106" s="175"/>
      <c r="T106" s="175" t="s">
        <v>9</v>
      </c>
      <c r="U106" s="175" t="s">
        <v>9</v>
      </c>
      <c r="V106" s="175" t="s">
        <v>9</v>
      </c>
      <c r="W106" s="175" t="s">
        <v>9</v>
      </c>
      <c r="X106" s="175" t="s">
        <v>9</v>
      </c>
      <c r="Y106" s="175" t="s">
        <v>9</v>
      </c>
      <c r="Z106" s="175"/>
      <c r="AA106" s="175" t="s">
        <v>9</v>
      </c>
      <c r="AB106" s="175" t="s">
        <v>9</v>
      </c>
      <c r="AC106" s="175" t="s">
        <v>9</v>
      </c>
      <c r="AD106" s="175" t="s">
        <v>9</v>
      </c>
      <c r="AE106" s="175" t="s">
        <v>9</v>
      </c>
      <c r="AF106" s="175" t="s">
        <v>9</v>
      </c>
      <c r="AG106" s="175"/>
      <c r="AH106" s="175" t="s">
        <v>9</v>
      </c>
      <c r="AI106" s="175" t="s">
        <v>9</v>
      </c>
      <c r="AJ106" s="175" t="s">
        <v>9</v>
      </c>
      <c r="AK106" s="175" t="s">
        <v>9</v>
      </c>
      <c r="AL106" s="172">
        <f t="shared" si="24"/>
        <v>24</v>
      </c>
      <c r="AM106" s="172">
        <f t="shared" si="25"/>
        <v>0</v>
      </c>
      <c r="AN106" s="175">
        <f t="shared" si="26"/>
        <v>0</v>
      </c>
      <c r="AO106" s="172">
        <f t="shared" si="27"/>
        <v>0</v>
      </c>
      <c r="AP106" s="172">
        <f t="shared" si="20"/>
        <v>0</v>
      </c>
      <c r="AQ106" s="172">
        <f t="shared" si="21"/>
        <v>0</v>
      </c>
      <c r="AR106" s="172">
        <f t="shared" si="28"/>
        <v>0</v>
      </c>
      <c r="AS106" s="176">
        <f t="shared" si="29"/>
        <v>0</v>
      </c>
      <c r="AT106" s="182">
        <v>1</v>
      </c>
    </row>
    <row r="107" spans="1:46" s="171" customFormat="1" ht="42.75" customHeight="1">
      <c r="A107" s="172">
        <v>38</v>
      </c>
      <c r="B107" s="180" t="s">
        <v>125</v>
      </c>
      <c r="C107" s="173" t="s">
        <v>126</v>
      </c>
      <c r="D107" s="172"/>
      <c r="E107" s="174" t="s">
        <v>77</v>
      </c>
      <c r="F107" s="192" t="s">
        <v>142</v>
      </c>
      <c r="G107" s="190"/>
      <c r="H107" s="175" t="s">
        <v>11</v>
      </c>
      <c r="I107" s="175" t="s">
        <v>11</v>
      </c>
      <c r="J107" s="175"/>
      <c r="K107" s="175" t="s">
        <v>11</v>
      </c>
      <c r="L107" s="175"/>
      <c r="M107" s="175" t="s">
        <v>11</v>
      </c>
      <c r="N107" s="175" t="s">
        <v>11</v>
      </c>
      <c r="O107" s="175" t="s">
        <v>11</v>
      </c>
      <c r="P107" s="175" t="s">
        <v>9</v>
      </c>
      <c r="Q107" s="175" t="s">
        <v>11</v>
      </c>
      <c r="R107" s="175" t="s">
        <v>11</v>
      </c>
      <c r="S107" s="175"/>
      <c r="T107" s="175" t="s">
        <v>11</v>
      </c>
      <c r="U107" s="175" t="s">
        <v>11</v>
      </c>
      <c r="V107" s="175" t="s">
        <v>11</v>
      </c>
      <c r="W107" s="175" t="s">
        <v>9</v>
      </c>
      <c r="X107" s="175" t="s">
        <v>9</v>
      </c>
      <c r="Y107" s="175"/>
      <c r="Z107" s="175"/>
      <c r="AA107" s="175" t="s">
        <v>11</v>
      </c>
      <c r="AB107" s="175" t="s">
        <v>11</v>
      </c>
      <c r="AC107" s="175" t="s">
        <v>11</v>
      </c>
      <c r="AD107" s="175"/>
      <c r="AE107" s="175" t="s">
        <v>9</v>
      </c>
      <c r="AF107" s="175" t="s">
        <v>11</v>
      </c>
      <c r="AG107" s="175"/>
      <c r="AH107" s="175" t="s">
        <v>9</v>
      </c>
      <c r="AI107" s="175" t="s">
        <v>11</v>
      </c>
      <c r="AJ107" s="175" t="s">
        <v>11</v>
      </c>
      <c r="AK107" s="175" t="s">
        <v>11</v>
      </c>
      <c r="AL107" s="172">
        <f t="shared" si="24"/>
        <v>5</v>
      </c>
      <c r="AM107" s="172">
        <f t="shared" si="25"/>
        <v>0</v>
      </c>
      <c r="AN107" s="175">
        <f t="shared" si="26"/>
        <v>18</v>
      </c>
      <c r="AO107" s="172">
        <f t="shared" si="27"/>
        <v>0</v>
      </c>
      <c r="AP107" s="172">
        <f t="shared" si="20"/>
        <v>0</v>
      </c>
      <c r="AQ107" s="172">
        <f t="shared" si="21"/>
        <v>0</v>
      </c>
      <c r="AR107" s="172">
        <f t="shared" si="28"/>
        <v>0</v>
      </c>
      <c r="AS107" s="176">
        <f t="shared" si="29"/>
        <v>0</v>
      </c>
      <c r="AT107" s="182" t="s">
        <v>198</v>
      </c>
    </row>
    <row r="108" spans="1:46" s="171" customFormat="1" ht="42.75" customHeight="1">
      <c r="A108" s="172">
        <v>39</v>
      </c>
      <c r="B108" s="180" t="s">
        <v>80</v>
      </c>
      <c r="C108" s="173" t="s">
        <v>127</v>
      </c>
      <c r="D108" s="172"/>
      <c r="E108" s="174" t="s">
        <v>77</v>
      </c>
      <c r="F108" s="192" t="s">
        <v>71</v>
      </c>
      <c r="G108" s="193"/>
      <c r="H108" s="175" t="s">
        <v>9</v>
      </c>
      <c r="I108" s="175" t="s">
        <v>11</v>
      </c>
      <c r="J108" s="175"/>
      <c r="K108" s="175" t="s">
        <v>9</v>
      </c>
      <c r="L108" s="175"/>
      <c r="M108" s="175" t="s">
        <v>11</v>
      </c>
      <c r="N108" s="175" t="s">
        <v>13</v>
      </c>
      <c r="O108" s="175"/>
      <c r="P108" s="175" t="s">
        <v>11</v>
      </c>
      <c r="Q108" s="175" t="s">
        <v>11</v>
      </c>
      <c r="R108" s="175" t="s">
        <v>11</v>
      </c>
      <c r="S108" s="175"/>
      <c r="T108" s="175" t="s">
        <v>11</v>
      </c>
      <c r="U108" s="175" t="s">
        <v>11</v>
      </c>
      <c r="V108" s="175" t="s">
        <v>11</v>
      </c>
      <c r="W108" s="175" t="s">
        <v>11</v>
      </c>
      <c r="X108" s="175" t="s">
        <v>11</v>
      </c>
      <c r="Y108" s="175" t="s">
        <v>11</v>
      </c>
      <c r="Z108" s="175"/>
      <c r="AA108" s="175"/>
      <c r="AB108" s="175" t="s">
        <v>11</v>
      </c>
      <c r="AC108" s="175" t="s">
        <v>9</v>
      </c>
      <c r="AD108" s="175" t="s">
        <v>11</v>
      </c>
      <c r="AE108" s="175" t="s">
        <v>11</v>
      </c>
      <c r="AF108" s="175" t="s">
        <v>11</v>
      </c>
      <c r="AG108" s="175"/>
      <c r="AH108" s="175" t="s">
        <v>11</v>
      </c>
      <c r="AI108" s="175"/>
      <c r="AJ108" s="175" t="s">
        <v>9</v>
      </c>
      <c r="AK108" s="175" t="s">
        <v>9</v>
      </c>
      <c r="AL108" s="172">
        <f t="shared" si="24"/>
        <v>5</v>
      </c>
      <c r="AM108" s="172">
        <f t="shared" si="25"/>
        <v>0</v>
      </c>
      <c r="AN108" s="172">
        <f t="shared" si="26"/>
        <v>16</v>
      </c>
      <c r="AO108" s="172">
        <f t="shared" si="27"/>
        <v>0</v>
      </c>
      <c r="AP108" s="172">
        <f t="shared" ref="AP108:AP119" si="30">COUNTIF(H108:AK108,"DL")</f>
        <v>1</v>
      </c>
      <c r="AQ108" s="172">
        <f t="shared" ref="AQ108:AQ119" si="31">COUNTIF(H108:AK108,"CB")</f>
        <v>0</v>
      </c>
      <c r="AR108" s="172">
        <f t="shared" si="28"/>
        <v>0</v>
      </c>
      <c r="AS108" s="176">
        <f t="shared" si="29"/>
        <v>0</v>
      </c>
      <c r="AT108" s="185" t="s">
        <v>200</v>
      </c>
    </row>
    <row r="109" spans="1:46" s="171" customFormat="1" ht="42.75" customHeight="1">
      <c r="A109" s="172">
        <v>40</v>
      </c>
      <c r="B109" s="180" t="s">
        <v>128</v>
      </c>
      <c r="C109" s="173" t="s">
        <v>129</v>
      </c>
      <c r="D109" s="174"/>
      <c r="E109" s="174" t="s">
        <v>77</v>
      </c>
      <c r="F109" s="192" t="s">
        <v>143</v>
      </c>
      <c r="G109" s="193"/>
      <c r="H109" s="175" t="s">
        <v>9</v>
      </c>
      <c r="I109" s="175" t="s">
        <v>9</v>
      </c>
      <c r="J109" s="175"/>
      <c r="K109" s="175" t="s">
        <v>9</v>
      </c>
      <c r="L109" s="175"/>
      <c r="M109" s="175" t="s">
        <v>9</v>
      </c>
      <c r="N109" s="175" t="s">
        <v>9</v>
      </c>
      <c r="O109" s="175" t="s">
        <v>9</v>
      </c>
      <c r="P109" s="175" t="s">
        <v>9</v>
      </c>
      <c r="Q109" s="175" t="s">
        <v>9</v>
      </c>
      <c r="R109" s="175" t="s">
        <v>9</v>
      </c>
      <c r="S109" s="175"/>
      <c r="T109" s="175" t="s">
        <v>9</v>
      </c>
      <c r="U109" s="175" t="s">
        <v>9</v>
      </c>
      <c r="V109" s="175" t="s">
        <v>9</v>
      </c>
      <c r="W109" s="175" t="s">
        <v>9</v>
      </c>
      <c r="X109" s="175" t="s">
        <v>9</v>
      </c>
      <c r="Y109" s="175" t="s">
        <v>9</v>
      </c>
      <c r="Z109" s="175"/>
      <c r="AA109" s="175" t="s">
        <v>9</v>
      </c>
      <c r="AB109" s="175" t="s">
        <v>9</v>
      </c>
      <c r="AC109" s="175" t="s">
        <v>9</v>
      </c>
      <c r="AD109" s="175" t="s">
        <v>9</v>
      </c>
      <c r="AE109" s="175" t="s">
        <v>9</v>
      </c>
      <c r="AF109" s="175" t="s">
        <v>9</v>
      </c>
      <c r="AG109" s="175"/>
      <c r="AH109" s="175" t="s">
        <v>9</v>
      </c>
      <c r="AI109" s="175" t="s">
        <v>9</v>
      </c>
      <c r="AJ109" s="175" t="s">
        <v>9</v>
      </c>
      <c r="AK109" s="175" t="s">
        <v>9</v>
      </c>
      <c r="AL109" s="172">
        <f t="shared" si="24"/>
        <v>25</v>
      </c>
      <c r="AM109" s="172">
        <f t="shared" si="25"/>
        <v>0</v>
      </c>
      <c r="AN109" s="172">
        <f t="shared" si="26"/>
        <v>0</v>
      </c>
      <c r="AO109" s="172">
        <f t="shared" si="27"/>
        <v>0</v>
      </c>
      <c r="AP109" s="172">
        <f t="shared" si="30"/>
        <v>0</v>
      </c>
      <c r="AQ109" s="172">
        <f t="shared" si="31"/>
        <v>0</v>
      </c>
      <c r="AR109" s="172">
        <f t="shared" si="28"/>
        <v>0</v>
      </c>
      <c r="AS109" s="176">
        <f t="shared" si="29"/>
        <v>0</v>
      </c>
      <c r="AT109" s="177"/>
    </row>
    <row r="110" spans="1:46" s="171" customFormat="1" ht="42.75" customHeight="1">
      <c r="A110" s="172">
        <v>41</v>
      </c>
      <c r="B110" s="180" t="s">
        <v>130</v>
      </c>
      <c r="C110" s="173" t="s">
        <v>131</v>
      </c>
      <c r="D110" s="174"/>
      <c r="E110" s="174" t="s">
        <v>77</v>
      </c>
      <c r="F110" s="192" t="s">
        <v>144</v>
      </c>
      <c r="G110" s="193"/>
      <c r="H110" s="175" t="s">
        <v>9</v>
      </c>
      <c r="I110" s="175" t="s">
        <v>9</v>
      </c>
      <c r="J110" s="175"/>
      <c r="K110" s="175" t="s">
        <v>9</v>
      </c>
      <c r="L110" s="175"/>
      <c r="M110" s="175" t="s">
        <v>9</v>
      </c>
      <c r="N110" s="175" t="s">
        <v>9</v>
      </c>
      <c r="O110" s="175" t="s">
        <v>9</v>
      </c>
      <c r="P110" s="175" t="s">
        <v>9</v>
      </c>
      <c r="Q110" s="175" t="s">
        <v>9</v>
      </c>
      <c r="R110" s="175" t="s">
        <v>9</v>
      </c>
      <c r="S110" s="175"/>
      <c r="T110" s="175" t="s">
        <v>9</v>
      </c>
      <c r="U110" s="175" t="s">
        <v>9</v>
      </c>
      <c r="V110" s="175" t="s">
        <v>9</v>
      </c>
      <c r="W110" s="175" t="s">
        <v>9</v>
      </c>
      <c r="X110" s="175" t="s">
        <v>9</v>
      </c>
      <c r="Y110" s="175" t="s">
        <v>9</v>
      </c>
      <c r="Z110" s="175"/>
      <c r="AA110" s="175" t="s">
        <v>9</v>
      </c>
      <c r="AB110" s="175" t="s">
        <v>9</v>
      </c>
      <c r="AC110" s="175" t="s">
        <v>9</v>
      </c>
      <c r="AD110" s="175" t="s">
        <v>9</v>
      </c>
      <c r="AE110" s="175" t="s">
        <v>9</v>
      </c>
      <c r="AF110" s="175" t="s">
        <v>9</v>
      </c>
      <c r="AG110" s="175"/>
      <c r="AH110" s="175" t="s">
        <v>9</v>
      </c>
      <c r="AI110" s="175" t="s">
        <v>9</v>
      </c>
      <c r="AJ110" s="175" t="s">
        <v>9</v>
      </c>
      <c r="AK110" s="175" t="s">
        <v>9</v>
      </c>
      <c r="AL110" s="172">
        <f t="shared" si="24"/>
        <v>25</v>
      </c>
      <c r="AM110" s="172">
        <f t="shared" si="25"/>
        <v>0</v>
      </c>
      <c r="AN110" s="172">
        <f t="shared" si="26"/>
        <v>0</v>
      </c>
      <c r="AO110" s="172">
        <f t="shared" si="27"/>
        <v>0</v>
      </c>
      <c r="AP110" s="172">
        <f t="shared" si="30"/>
        <v>0</v>
      </c>
      <c r="AQ110" s="172">
        <f t="shared" si="31"/>
        <v>0</v>
      </c>
      <c r="AR110" s="172">
        <f t="shared" si="28"/>
        <v>0</v>
      </c>
      <c r="AS110" s="176">
        <f t="shared" si="29"/>
        <v>0</v>
      </c>
      <c r="AT110" s="182">
        <v>6.15</v>
      </c>
    </row>
    <row r="111" spans="1:46" s="171" customFormat="1" ht="42.75" customHeight="1">
      <c r="A111" s="172">
        <v>42</v>
      </c>
      <c r="B111" s="180" t="s">
        <v>78</v>
      </c>
      <c r="C111" s="173" t="s">
        <v>132</v>
      </c>
      <c r="D111" s="174"/>
      <c r="E111" s="174" t="s">
        <v>77</v>
      </c>
      <c r="F111" s="192" t="s">
        <v>143</v>
      </c>
      <c r="G111" s="193"/>
      <c r="H111" s="175" t="s">
        <v>9</v>
      </c>
      <c r="I111" s="175" t="s">
        <v>9</v>
      </c>
      <c r="J111" s="175"/>
      <c r="K111" s="175" t="s">
        <v>9</v>
      </c>
      <c r="L111" s="175"/>
      <c r="M111" s="175" t="s">
        <v>9</v>
      </c>
      <c r="N111" s="175" t="s">
        <v>9</v>
      </c>
      <c r="O111" s="175" t="s">
        <v>9</v>
      </c>
      <c r="P111" s="175" t="s">
        <v>9</v>
      </c>
      <c r="Q111" s="175" t="s">
        <v>9</v>
      </c>
      <c r="R111" s="175" t="s">
        <v>9</v>
      </c>
      <c r="S111" s="175"/>
      <c r="T111" s="175" t="s">
        <v>9</v>
      </c>
      <c r="U111" s="175" t="s">
        <v>9</v>
      </c>
      <c r="V111" s="175" t="s">
        <v>11</v>
      </c>
      <c r="W111" s="175" t="s">
        <v>9</v>
      </c>
      <c r="X111" s="175" t="s">
        <v>9</v>
      </c>
      <c r="Y111" s="175" t="s">
        <v>9</v>
      </c>
      <c r="Z111" s="175"/>
      <c r="AA111" s="175" t="s">
        <v>9</v>
      </c>
      <c r="AB111" s="175" t="s">
        <v>9</v>
      </c>
      <c r="AC111" s="175" t="s">
        <v>9</v>
      </c>
      <c r="AD111" s="175" t="s">
        <v>9</v>
      </c>
      <c r="AE111" s="175" t="s">
        <v>9</v>
      </c>
      <c r="AF111" s="175" t="s">
        <v>9</v>
      </c>
      <c r="AG111" s="175"/>
      <c r="AH111" s="175" t="s">
        <v>9</v>
      </c>
      <c r="AI111" s="175" t="s">
        <v>9</v>
      </c>
      <c r="AJ111" s="175" t="s">
        <v>9</v>
      </c>
      <c r="AK111" s="175" t="s">
        <v>9</v>
      </c>
      <c r="AL111" s="172">
        <f t="shared" si="24"/>
        <v>24</v>
      </c>
      <c r="AM111" s="172">
        <f t="shared" si="25"/>
        <v>0</v>
      </c>
      <c r="AN111" s="172">
        <f t="shared" si="26"/>
        <v>1</v>
      </c>
      <c r="AO111" s="172">
        <f t="shared" si="27"/>
        <v>0</v>
      </c>
      <c r="AP111" s="172">
        <f t="shared" si="30"/>
        <v>0</v>
      </c>
      <c r="AQ111" s="172">
        <f t="shared" si="31"/>
        <v>0</v>
      </c>
      <c r="AR111" s="172">
        <f t="shared" si="28"/>
        <v>0</v>
      </c>
      <c r="AS111" s="176">
        <f t="shared" si="29"/>
        <v>0</v>
      </c>
      <c r="AT111" s="182">
        <v>15</v>
      </c>
    </row>
    <row r="112" spans="1:46" s="171" customFormat="1" ht="42.75" customHeight="1">
      <c r="A112" s="172">
        <v>43</v>
      </c>
      <c r="B112" s="180" t="s">
        <v>79</v>
      </c>
      <c r="C112" s="173" t="s">
        <v>167</v>
      </c>
      <c r="D112" s="172"/>
      <c r="E112" s="174" t="s">
        <v>77</v>
      </c>
      <c r="F112" s="192" t="s">
        <v>144</v>
      </c>
      <c r="G112" s="193"/>
      <c r="H112" s="175" t="s">
        <v>11</v>
      </c>
      <c r="I112" s="175" t="s">
        <v>9</v>
      </c>
      <c r="J112" s="175"/>
      <c r="K112" s="175" t="s">
        <v>11</v>
      </c>
      <c r="L112" s="175"/>
      <c r="M112" s="175" t="s">
        <v>11</v>
      </c>
      <c r="N112" s="175" t="s">
        <v>11</v>
      </c>
      <c r="O112" s="175" t="s">
        <v>11</v>
      </c>
      <c r="P112" s="175" t="s">
        <v>11</v>
      </c>
      <c r="Q112" s="175" t="s">
        <v>11</v>
      </c>
      <c r="R112" s="175" t="s">
        <v>9</v>
      </c>
      <c r="S112" s="175"/>
      <c r="T112" s="175" t="s">
        <v>11</v>
      </c>
      <c r="U112" s="175" t="s">
        <v>11</v>
      </c>
      <c r="V112" s="175" t="s">
        <v>11</v>
      </c>
      <c r="W112" s="175"/>
      <c r="X112" s="175" t="s">
        <v>11</v>
      </c>
      <c r="Y112" s="175" t="s">
        <v>11</v>
      </c>
      <c r="Z112" s="175"/>
      <c r="AA112" s="175" t="s">
        <v>11</v>
      </c>
      <c r="AB112" s="175" t="s">
        <v>11</v>
      </c>
      <c r="AC112" s="175"/>
      <c r="AD112" s="175" t="s">
        <v>9</v>
      </c>
      <c r="AE112" s="175" t="s">
        <v>9</v>
      </c>
      <c r="AF112" s="175" t="s">
        <v>11</v>
      </c>
      <c r="AG112" s="175"/>
      <c r="AH112" s="175" t="s">
        <v>9</v>
      </c>
      <c r="AI112" s="175" t="s">
        <v>9</v>
      </c>
      <c r="AJ112" s="175" t="s">
        <v>9</v>
      </c>
      <c r="AK112" s="175" t="s">
        <v>9</v>
      </c>
      <c r="AL112" s="172">
        <f t="shared" si="24"/>
        <v>8</v>
      </c>
      <c r="AM112" s="172">
        <f t="shared" si="25"/>
        <v>0</v>
      </c>
      <c r="AN112" s="172">
        <f t="shared" si="26"/>
        <v>15</v>
      </c>
      <c r="AO112" s="172">
        <f t="shared" si="27"/>
        <v>0</v>
      </c>
      <c r="AP112" s="172">
        <f t="shared" si="30"/>
        <v>0</v>
      </c>
      <c r="AQ112" s="172">
        <f t="shared" si="31"/>
        <v>0</v>
      </c>
      <c r="AR112" s="172">
        <f t="shared" si="28"/>
        <v>0</v>
      </c>
      <c r="AS112" s="176">
        <f t="shared" si="29"/>
        <v>0</v>
      </c>
      <c r="AT112" s="177"/>
    </row>
    <row r="113" spans="1:46" s="171" customFormat="1" ht="42.75" customHeight="1">
      <c r="A113" s="172">
        <v>44</v>
      </c>
      <c r="B113" s="180" t="s">
        <v>133</v>
      </c>
      <c r="C113" s="173" t="s">
        <v>134</v>
      </c>
      <c r="D113" s="172"/>
      <c r="E113" s="174" t="s">
        <v>77</v>
      </c>
      <c r="F113" s="192" t="s">
        <v>144</v>
      </c>
      <c r="G113" s="193"/>
      <c r="H113" s="175" t="s">
        <v>11</v>
      </c>
      <c r="I113" s="175" t="s">
        <v>9</v>
      </c>
      <c r="J113" s="175"/>
      <c r="K113" s="175" t="s">
        <v>11</v>
      </c>
      <c r="L113" s="175"/>
      <c r="M113" s="175" t="s">
        <v>11</v>
      </c>
      <c r="N113" s="175" t="s">
        <v>9</v>
      </c>
      <c r="O113" s="175" t="s">
        <v>9</v>
      </c>
      <c r="P113" s="175" t="s">
        <v>11</v>
      </c>
      <c r="Q113" s="175" t="s">
        <v>11</v>
      </c>
      <c r="R113" s="175" t="s">
        <v>11</v>
      </c>
      <c r="S113" s="175"/>
      <c r="T113" s="175" t="s">
        <v>11</v>
      </c>
      <c r="U113" s="175"/>
      <c r="V113" s="175"/>
      <c r="W113" s="175"/>
      <c r="X113" s="175"/>
      <c r="Y113" s="175"/>
      <c r="Z113" s="175"/>
      <c r="AA113" s="175"/>
      <c r="AB113" s="175"/>
      <c r="AC113" s="175"/>
      <c r="AD113" s="175"/>
      <c r="AE113" s="175"/>
      <c r="AF113" s="175"/>
      <c r="AG113" s="175"/>
      <c r="AH113" s="175" t="s">
        <v>11</v>
      </c>
      <c r="AI113" s="175" t="s">
        <v>11</v>
      </c>
      <c r="AJ113" s="175" t="s">
        <v>11</v>
      </c>
      <c r="AK113" s="175" t="s">
        <v>11</v>
      </c>
      <c r="AL113" s="172">
        <f t="shared" si="24"/>
        <v>3</v>
      </c>
      <c r="AM113" s="172">
        <f t="shared" si="25"/>
        <v>0</v>
      </c>
      <c r="AN113" s="172">
        <f t="shared" si="26"/>
        <v>11</v>
      </c>
      <c r="AO113" s="172">
        <f t="shared" si="27"/>
        <v>0</v>
      </c>
      <c r="AP113" s="172">
        <f t="shared" si="30"/>
        <v>0</v>
      </c>
      <c r="AQ113" s="172">
        <f t="shared" si="31"/>
        <v>0</v>
      </c>
      <c r="AR113" s="172">
        <f t="shared" si="28"/>
        <v>0</v>
      </c>
      <c r="AS113" s="176">
        <f t="shared" si="29"/>
        <v>0</v>
      </c>
      <c r="AT113" s="177"/>
    </row>
    <row r="114" spans="1:46" s="171" customFormat="1" ht="42.75" customHeight="1">
      <c r="A114" s="172">
        <v>45</v>
      </c>
      <c r="B114" s="180" t="s">
        <v>135</v>
      </c>
      <c r="C114" s="173" t="s">
        <v>136</v>
      </c>
      <c r="D114" s="172"/>
      <c r="E114" s="174" t="s">
        <v>77</v>
      </c>
      <c r="F114" s="194" t="s">
        <v>145</v>
      </c>
      <c r="G114" s="193"/>
      <c r="H114" s="175" t="s">
        <v>9</v>
      </c>
      <c r="I114" s="175" t="s">
        <v>9</v>
      </c>
      <c r="J114" s="175"/>
      <c r="K114" s="175" t="s">
        <v>9</v>
      </c>
      <c r="L114" s="175"/>
      <c r="M114" s="175" t="s">
        <v>9</v>
      </c>
      <c r="N114" s="175" t="s">
        <v>9</v>
      </c>
      <c r="O114" s="175" t="s">
        <v>9</v>
      </c>
      <c r="P114" s="175" t="s">
        <v>9</v>
      </c>
      <c r="Q114" s="175" t="s">
        <v>9</v>
      </c>
      <c r="R114" s="175" t="s">
        <v>9</v>
      </c>
      <c r="S114" s="175"/>
      <c r="T114" s="175" t="s">
        <v>9</v>
      </c>
      <c r="U114" s="175"/>
      <c r="V114" s="175" t="s">
        <v>9</v>
      </c>
      <c r="W114" s="175" t="s">
        <v>9</v>
      </c>
      <c r="X114" s="175" t="s">
        <v>9</v>
      </c>
      <c r="Y114" s="175" t="s">
        <v>9</v>
      </c>
      <c r="Z114" s="175"/>
      <c r="AA114" s="175" t="s">
        <v>9</v>
      </c>
      <c r="AB114" s="175" t="s">
        <v>9</v>
      </c>
      <c r="AC114" s="175"/>
      <c r="AD114" s="175" t="s">
        <v>9</v>
      </c>
      <c r="AE114" s="175" t="s">
        <v>9</v>
      </c>
      <c r="AF114" s="175" t="s">
        <v>9</v>
      </c>
      <c r="AG114" s="175"/>
      <c r="AH114" s="175" t="s">
        <v>9</v>
      </c>
      <c r="AI114" s="175" t="s">
        <v>9</v>
      </c>
      <c r="AJ114" s="175" t="s">
        <v>9</v>
      </c>
      <c r="AK114" s="175" t="s">
        <v>9</v>
      </c>
      <c r="AL114" s="172">
        <f t="shared" si="24"/>
        <v>23</v>
      </c>
      <c r="AM114" s="172">
        <f t="shared" si="25"/>
        <v>0</v>
      </c>
      <c r="AN114" s="172">
        <f t="shared" si="26"/>
        <v>0</v>
      </c>
      <c r="AO114" s="172">
        <f t="shared" si="27"/>
        <v>0</v>
      </c>
      <c r="AP114" s="172">
        <f t="shared" si="30"/>
        <v>0</v>
      </c>
      <c r="AQ114" s="172">
        <f t="shared" si="31"/>
        <v>0</v>
      </c>
      <c r="AR114" s="172">
        <f t="shared" si="28"/>
        <v>0</v>
      </c>
      <c r="AS114" s="176">
        <f t="shared" si="29"/>
        <v>0</v>
      </c>
      <c r="AT114" s="177"/>
    </row>
    <row r="115" spans="1:46" s="171" customFormat="1" ht="42.75" customHeight="1">
      <c r="A115" s="172">
        <v>46</v>
      </c>
      <c r="B115" s="195" t="s">
        <v>109</v>
      </c>
      <c r="C115" s="173" t="s">
        <v>137</v>
      </c>
      <c r="D115" s="172"/>
      <c r="E115" s="174" t="s">
        <v>77</v>
      </c>
      <c r="F115" s="194" t="s">
        <v>145</v>
      </c>
      <c r="G115" s="196"/>
      <c r="H115" s="175" t="s">
        <v>9</v>
      </c>
      <c r="I115" s="175" t="s">
        <v>9</v>
      </c>
      <c r="J115" s="175"/>
      <c r="K115" s="175" t="s">
        <v>9</v>
      </c>
      <c r="L115" s="175"/>
      <c r="M115" s="175" t="s">
        <v>9</v>
      </c>
      <c r="N115" s="175" t="s">
        <v>9</v>
      </c>
      <c r="O115" s="175" t="s">
        <v>9</v>
      </c>
      <c r="P115" s="175" t="s">
        <v>9</v>
      </c>
      <c r="Q115" s="175" t="s">
        <v>9</v>
      </c>
      <c r="R115" s="175" t="s">
        <v>9</v>
      </c>
      <c r="S115" s="175"/>
      <c r="T115" s="175" t="s">
        <v>9</v>
      </c>
      <c r="U115" s="175" t="s">
        <v>9</v>
      </c>
      <c r="V115" s="175" t="s">
        <v>9</v>
      </c>
      <c r="W115" s="175" t="s">
        <v>9</v>
      </c>
      <c r="X115" s="175" t="s">
        <v>9</v>
      </c>
      <c r="Y115" s="175" t="s">
        <v>9</v>
      </c>
      <c r="Z115" s="175"/>
      <c r="AA115" s="175"/>
      <c r="AB115" s="175" t="s">
        <v>9</v>
      </c>
      <c r="AC115" s="175" t="s">
        <v>9</v>
      </c>
      <c r="AD115" s="175" t="s">
        <v>9</v>
      </c>
      <c r="AE115" s="175" t="s">
        <v>9</v>
      </c>
      <c r="AF115" s="175" t="s">
        <v>9</v>
      </c>
      <c r="AG115" s="175"/>
      <c r="AH115" s="175" t="s">
        <v>9</v>
      </c>
      <c r="AI115" s="175" t="s">
        <v>9</v>
      </c>
      <c r="AJ115" s="175" t="s">
        <v>9</v>
      </c>
      <c r="AK115" s="175" t="s">
        <v>9</v>
      </c>
      <c r="AL115" s="172">
        <f t="shared" si="24"/>
        <v>24</v>
      </c>
      <c r="AM115" s="172">
        <f t="shared" si="25"/>
        <v>0</v>
      </c>
      <c r="AN115" s="172">
        <f t="shared" si="26"/>
        <v>0</v>
      </c>
      <c r="AO115" s="172">
        <f t="shared" si="27"/>
        <v>0</v>
      </c>
      <c r="AP115" s="172">
        <f t="shared" si="30"/>
        <v>0</v>
      </c>
      <c r="AQ115" s="172">
        <f t="shared" si="31"/>
        <v>0</v>
      </c>
      <c r="AR115" s="172">
        <f t="shared" si="28"/>
        <v>0</v>
      </c>
      <c r="AS115" s="176">
        <f t="shared" si="29"/>
        <v>0</v>
      </c>
      <c r="AT115" s="177"/>
    </row>
    <row r="116" spans="1:46" s="171" customFormat="1" ht="42.75" customHeight="1">
      <c r="A116" s="172">
        <v>47</v>
      </c>
      <c r="B116" s="195" t="s">
        <v>82</v>
      </c>
      <c r="C116" s="173" t="s">
        <v>138</v>
      </c>
      <c r="D116" s="172"/>
      <c r="E116" s="174" t="s">
        <v>77</v>
      </c>
      <c r="F116" s="194" t="s">
        <v>145</v>
      </c>
      <c r="G116" s="196"/>
      <c r="H116" s="175" t="s">
        <v>9</v>
      </c>
      <c r="I116" s="175" t="s">
        <v>9</v>
      </c>
      <c r="J116" s="175"/>
      <c r="K116" s="175" t="s">
        <v>9</v>
      </c>
      <c r="L116" s="175"/>
      <c r="M116" s="175" t="s">
        <v>9</v>
      </c>
      <c r="N116" s="175" t="s">
        <v>9</v>
      </c>
      <c r="O116" s="175" t="s">
        <v>9</v>
      </c>
      <c r="P116" s="175" t="s">
        <v>9</v>
      </c>
      <c r="Q116" s="175" t="s">
        <v>9</v>
      </c>
      <c r="R116" s="175" t="s">
        <v>9</v>
      </c>
      <c r="S116" s="175"/>
      <c r="T116" s="175" t="s">
        <v>9</v>
      </c>
      <c r="U116" s="175" t="s">
        <v>9</v>
      </c>
      <c r="V116" s="175" t="s">
        <v>9</v>
      </c>
      <c r="W116" s="175" t="s">
        <v>9</v>
      </c>
      <c r="X116" s="175" t="s">
        <v>9</v>
      </c>
      <c r="Y116" s="175" t="s">
        <v>9</v>
      </c>
      <c r="Z116" s="175"/>
      <c r="AA116" s="175" t="s">
        <v>9</v>
      </c>
      <c r="AB116" s="175" t="s">
        <v>9</v>
      </c>
      <c r="AC116" s="175" t="s">
        <v>9</v>
      </c>
      <c r="AD116" s="175" t="s">
        <v>9</v>
      </c>
      <c r="AE116" s="175" t="s">
        <v>9</v>
      </c>
      <c r="AF116" s="175" t="s">
        <v>9</v>
      </c>
      <c r="AG116" s="175"/>
      <c r="AH116" s="175" t="s">
        <v>9</v>
      </c>
      <c r="AI116" s="175" t="s">
        <v>9</v>
      </c>
      <c r="AJ116" s="175" t="s">
        <v>9</v>
      </c>
      <c r="AK116" s="175" t="s">
        <v>9</v>
      </c>
      <c r="AL116" s="172">
        <f t="shared" si="24"/>
        <v>25</v>
      </c>
      <c r="AM116" s="172">
        <f t="shared" si="25"/>
        <v>0</v>
      </c>
      <c r="AN116" s="172">
        <f t="shared" si="26"/>
        <v>0</v>
      </c>
      <c r="AO116" s="172">
        <f t="shared" si="27"/>
        <v>0</v>
      </c>
      <c r="AP116" s="172">
        <f t="shared" si="30"/>
        <v>0</v>
      </c>
      <c r="AQ116" s="172">
        <f t="shared" si="31"/>
        <v>0</v>
      </c>
      <c r="AR116" s="172">
        <f t="shared" si="28"/>
        <v>0</v>
      </c>
      <c r="AS116" s="176">
        <f t="shared" si="29"/>
        <v>0</v>
      </c>
      <c r="AT116" s="177"/>
    </row>
    <row r="117" spans="1:46" s="171" customFormat="1" ht="42.75" customHeight="1">
      <c r="A117" s="172">
        <v>48</v>
      </c>
      <c r="B117" s="180" t="s">
        <v>83</v>
      </c>
      <c r="C117" s="173" t="s">
        <v>139</v>
      </c>
      <c r="D117" s="197"/>
      <c r="E117" s="198" t="s">
        <v>77</v>
      </c>
      <c r="F117" s="194" t="s">
        <v>145</v>
      </c>
      <c r="G117" s="196"/>
      <c r="H117" s="175" t="s">
        <v>11</v>
      </c>
      <c r="I117" s="175" t="s">
        <v>11</v>
      </c>
      <c r="J117" s="175"/>
      <c r="K117" s="175" t="s">
        <v>11</v>
      </c>
      <c r="L117" s="175"/>
      <c r="M117" s="175" t="s">
        <v>9</v>
      </c>
      <c r="N117" s="175" t="s">
        <v>9</v>
      </c>
      <c r="O117" s="175" t="s">
        <v>9</v>
      </c>
      <c r="P117" s="175" t="s">
        <v>9</v>
      </c>
      <c r="Q117" s="175" t="s">
        <v>9</v>
      </c>
      <c r="R117" s="175" t="s">
        <v>9</v>
      </c>
      <c r="S117" s="175"/>
      <c r="T117" s="175" t="s">
        <v>9</v>
      </c>
      <c r="U117" s="175" t="s">
        <v>9</v>
      </c>
      <c r="V117" s="175" t="s">
        <v>9</v>
      </c>
      <c r="W117" s="175" t="s">
        <v>9</v>
      </c>
      <c r="X117" s="175" t="s">
        <v>9</v>
      </c>
      <c r="Y117" s="175"/>
      <c r="Z117" s="175"/>
      <c r="AA117" s="175" t="s">
        <v>9</v>
      </c>
      <c r="AB117" s="175" t="s">
        <v>9</v>
      </c>
      <c r="AC117" s="175" t="s">
        <v>9</v>
      </c>
      <c r="AD117" s="175" t="s">
        <v>9</v>
      </c>
      <c r="AE117" s="175" t="s">
        <v>9</v>
      </c>
      <c r="AF117" s="175" t="s">
        <v>9</v>
      </c>
      <c r="AG117" s="175"/>
      <c r="AH117" s="175" t="s">
        <v>9</v>
      </c>
      <c r="AI117" s="175" t="s">
        <v>9</v>
      </c>
      <c r="AJ117" s="175" t="s">
        <v>9</v>
      </c>
      <c r="AK117" s="175" t="s">
        <v>9</v>
      </c>
      <c r="AL117" s="172">
        <f t="shared" si="24"/>
        <v>21</v>
      </c>
      <c r="AM117" s="172">
        <f t="shared" si="25"/>
        <v>0</v>
      </c>
      <c r="AN117" s="172">
        <f t="shared" si="26"/>
        <v>3</v>
      </c>
      <c r="AO117" s="172">
        <f t="shared" si="27"/>
        <v>0</v>
      </c>
      <c r="AP117" s="172">
        <f t="shared" si="30"/>
        <v>0</v>
      </c>
      <c r="AQ117" s="172">
        <f t="shared" si="31"/>
        <v>0</v>
      </c>
      <c r="AR117" s="172">
        <f t="shared" si="28"/>
        <v>0</v>
      </c>
      <c r="AS117" s="176">
        <f t="shared" si="29"/>
        <v>0</v>
      </c>
      <c r="AT117" s="182" t="s">
        <v>203</v>
      </c>
    </row>
    <row r="118" spans="1:46" s="171" customFormat="1" ht="42.75" customHeight="1">
      <c r="A118" s="172">
        <v>49</v>
      </c>
      <c r="B118" s="180" t="s">
        <v>141</v>
      </c>
      <c r="C118" s="172" t="s">
        <v>140</v>
      </c>
      <c r="D118" s="172" t="s">
        <v>100</v>
      </c>
      <c r="E118" s="174" t="s">
        <v>77</v>
      </c>
      <c r="F118" s="194" t="s">
        <v>102</v>
      </c>
      <c r="G118" s="196"/>
      <c r="H118" s="175" t="s">
        <v>9</v>
      </c>
      <c r="I118" s="175" t="s">
        <v>9</v>
      </c>
      <c r="J118" s="175"/>
      <c r="K118" s="175" t="s">
        <v>9</v>
      </c>
      <c r="L118" s="175"/>
      <c r="M118" s="175" t="s">
        <v>9</v>
      </c>
      <c r="N118" s="175" t="s">
        <v>9</v>
      </c>
      <c r="O118" s="175" t="s">
        <v>9</v>
      </c>
      <c r="P118" s="175" t="s">
        <v>9</v>
      </c>
      <c r="Q118" s="175" t="s">
        <v>9</v>
      </c>
      <c r="R118" s="175" t="s">
        <v>9</v>
      </c>
      <c r="S118" s="175"/>
      <c r="T118" s="175" t="s">
        <v>9</v>
      </c>
      <c r="U118" s="175" t="s">
        <v>9</v>
      </c>
      <c r="V118" s="175" t="s">
        <v>9</v>
      </c>
      <c r="W118" s="175" t="s">
        <v>9</v>
      </c>
      <c r="X118" s="175" t="s">
        <v>9</v>
      </c>
      <c r="Y118" s="175" t="s">
        <v>9</v>
      </c>
      <c r="Z118" s="175"/>
      <c r="AA118" s="175" t="s">
        <v>9</v>
      </c>
      <c r="AB118" s="175" t="s">
        <v>9</v>
      </c>
      <c r="AC118" s="175" t="s">
        <v>9</v>
      </c>
      <c r="AD118" s="175" t="s">
        <v>9</v>
      </c>
      <c r="AE118" s="175" t="s">
        <v>9</v>
      </c>
      <c r="AF118" s="175" t="s">
        <v>9</v>
      </c>
      <c r="AG118" s="175"/>
      <c r="AH118" s="175" t="s">
        <v>9</v>
      </c>
      <c r="AI118" s="175" t="s">
        <v>9</v>
      </c>
      <c r="AJ118" s="175" t="s">
        <v>9</v>
      </c>
      <c r="AK118" s="175" t="s">
        <v>9</v>
      </c>
      <c r="AL118" s="172">
        <f t="shared" si="24"/>
        <v>25</v>
      </c>
      <c r="AM118" s="172">
        <f t="shared" si="25"/>
        <v>0</v>
      </c>
      <c r="AN118" s="172">
        <f t="shared" si="26"/>
        <v>0</v>
      </c>
      <c r="AO118" s="172">
        <f t="shared" si="27"/>
        <v>0</v>
      </c>
      <c r="AP118" s="172">
        <f t="shared" si="30"/>
        <v>0</v>
      </c>
      <c r="AQ118" s="172">
        <f t="shared" si="31"/>
        <v>0</v>
      </c>
      <c r="AR118" s="172">
        <f t="shared" si="28"/>
        <v>0</v>
      </c>
      <c r="AS118" s="176">
        <f t="shared" si="29"/>
        <v>0</v>
      </c>
      <c r="AT118" s="185" t="s">
        <v>204</v>
      </c>
    </row>
    <row r="119" spans="1:46" s="171" customFormat="1" ht="42.75" customHeight="1">
      <c r="A119" s="172">
        <v>50</v>
      </c>
      <c r="B119" s="180" t="s">
        <v>175</v>
      </c>
      <c r="C119" s="172" t="s">
        <v>140</v>
      </c>
      <c r="D119" s="172" t="s">
        <v>100</v>
      </c>
      <c r="E119" s="199" t="s">
        <v>77</v>
      </c>
      <c r="F119" s="192" t="s">
        <v>103</v>
      </c>
      <c r="G119" s="196"/>
      <c r="H119" s="175" t="s">
        <v>9</v>
      </c>
      <c r="I119" s="175" t="s">
        <v>9</v>
      </c>
      <c r="J119" s="175"/>
      <c r="K119" s="175" t="s">
        <v>9</v>
      </c>
      <c r="L119" s="175"/>
      <c r="M119" s="175" t="s">
        <v>9</v>
      </c>
      <c r="N119" s="175" t="s">
        <v>9</v>
      </c>
      <c r="O119" s="175" t="s">
        <v>9</v>
      </c>
      <c r="P119" s="175" t="s">
        <v>9</v>
      </c>
      <c r="Q119" s="175" t="s">
        <v>9</v>
      </c>
      <c r="R119" s="175" t="s">
        <v>9</v>
      </c>
      <c r="S119" s="175"/>
      <c r="T119" s="175" t="s">
        <v>9</v>
      </c>
      <c r="U119" s="175" t="s">
        <v>9</v>
      </c>
      <c r="V119" s="175" t="s">
        <v>9</v>
      </c>
      <c r="W119" s="175" t="s">
        <v>9</v>
      </c>
      <c r="X119" s="175" t="s">
        <v>9</v>
      </c>
      <c r="Y119" s="175" t="s">
        <v>9</v>
      </c>
      <c r="Z119" s="175"/>
      <c r="AA119" s="175" t="s">
        <v>9</v>
      </c>
      <c r="AB119" s="175" t="s">
        <v>9</v>
      </c>
      <c r="AC119" s="175"/>
      <c r="AD119" s="175" t="s">
        <v>9</v>
      </c>
      <c r="AE119" s="175" t="s">
        <v>9</v>
      </c>
      <c r="AF119" s="175" t="s">
        <v>9</v>
      </c>
      <c r="AG119" s="175"/>
      <c r="AH119" s="175" t="s">
        <v>9</v>
      </c>
      <c r="AI119" s="175" t="s">
        <v>9</v>
      </c>
      <c r="AJ119" s="175" t="s">
        <v>9</v>
      </c>
      <c r="AK119" s="175" t="s">
        <v>9</v>
      </c>
      <c r="AL119" s="172">
        <f t="shared" si="24"/>
        <v>24</v>
      </c>
      <c r="AM119" s="172">
        <f t="shared" si="25"/>
        <v>0</v>
      </c>
      <c r="AN119" s="172">
        <f t="shared" si="26"/>
        <v>0</v>
      </c>
      <c r="AO119" s="172">
        <f t="shared" si="27"/>
        <v>0</v>
      </c>
      <c r="AP119" s="172">
        <f t="shared" si="30"/>
        <v>0</v>
      </c>
      <c r="AQ119" s="172">
        <f t="shared" si="31"/>
        <v>0</v>
      </c>
      <c r="AR119" s="172">
        <f t="shared" si="28"/>
        <v>0</v>
      </c>
      <c r="AS119" s="176">
        <f t="shared" si="29"/>
        <v>0</v>
      </c>
      <c r="AT119" s="182">
        <v>15.28</v>
      </c>
    </row>
    <row r="120" spans="1:46" ht="17.649999999999999" customHeight="1">
      <c r="F120" s="105"/>
      <c r="G120" s="105"/>
      <c r="H120" s="102"/>
      <c r="I120" s="102"/>
      <c r="J120" s="102"/>
      <c r="K120" s="102"/>
      <c r="L120" s="102"/>
      <c r="M120" s="102"/>
      <c r="N120" s="102"/>
      <c r="O120" s="102"/>
      <c r="P120" s="111"/>
      <c r="Q120" s="102"/>
      <c r="R120" s="102"/>
      <c r="S120" s="102"/>
      <c r="T120" s="102"/>
      <c r="U120" s="102"/>
      <c r="V120" s="102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216" t="s">
        <v>190</v>
      </c>
      <c r="AM120" s="216"/>
      <c r="AN120" s="216"/>
      <c r="AO120" s="216"/>
      <c r="AP120" s="216"/>
      <c r="AQ120" s="216"/>
      <c r="AR120" s="216"/>
      <c r="AS120" s="216"/>
    </row>
    <row r="121" spans="1:46" ht="17.649999999999999" customHeight="1">
      <c r="F121" s="105"/>
      <c r="G121" s="105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62"/>
      <c r="AM121" s="162"/>
      <c r="AN121" s="162"/>
      <c r="AO121" s="162"/>
      <c r="AP121" s="162"/>
      <c r="AQ121" s="105"/>
      <c r="AR121" s="102"/>
      <c r="AS121" s="102"/>
    </row>
    <row r="122" spans="1:46" ht="17.649999999999999" customHeight="1">
      <c r="F122" s="105" t="s">
        <v>84</v>
      </c>
      <c r="G122" s="105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213" t="s">
        <v>104</v>
      </c>
      <c r="AM122" s="213"/>
      <c r="AN122" s="213"/>
      <c r="AO122" s="213"/>
      <c r="AP122" s="213"/>
      <c r="AQ122" s="213"/>
      <c r="AR122" s="213"/>
      <c r="AS122" s="213"/>
    </row>
    <row r="123" spans="1:46" ht="17.649999999999999" customHeight="1">
      <c r="F123" s="105"/>
      <c r="G123" s="105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62"/>
      <c r="AM123" s="162"/>
      <c r="AN123" s="162"/>
      <c r="AO123" s="162"/>
      <c r="AP123" s="162"/>
      <c r="AQ123" s="105"/>
      <c r="AR123" s="102"/>
      <c r="AS123" s="102"/>
    </row>
    <row r="124" spans="1:46" ht="17.649999999999999" customHeight="1">
      <c r="F124" s="112"/>
      <c r="G124" s="112"/>
      <c r="H124" s="113"/>
      <c r="I124" s="113"/>
      <c r="J124" s="113"/>
      <c r="K124" s="113"/>
      <c r="L124" s="113"/>
      <c r="M124" s="113"/>
      <c r="N124" s="113"/>
      <c r="O124" s="102"/>
      <c r="P124" s="102"/>
      <c r="Q124" s="102"/>
      <c r="R124" s="102"/>
      <c r="S124" s="102"/>
      <c r="T124" s="114"/>
      <c r="U124" s="114"/>
      <c r="V124" s="102"/>
      <c r="W124" s="102"/>
      <c r="X124" s="102"/>
      <c r="Y124" s="102"/>
      <c r="Z124" s="102"/>
      <c r="AA124" s="102"/>
      <c r="AB124" s="102"/>
      <c r="AC124" s="102"/>
      <c r="AD124" s="102"/>
      <c r="AE124" s="102"/>
      <c r="AF124" s="102"/>
      <c r="AG124" s="102"/>
      <c r="AH124" s="102"/>
      <c r="AI124" s="102"/>
      <c r="AJ124" s="102"/>
      <c r="AK124" s="102"/>
      <c r="AL124" s="162"/>
      <c r="AM124" s="164"/>
      <c r="AN124" s="164"/>
      <c r="AO124" s="115"/>
      <c r="AP124" s="164"/>
      <c r="AQ124" s="102"/>
      <c r="AR124" s="102"/>
      <c r="AS124" s="102"/>
    </row>
    <row r="125" spans="1:46" ht="17.649999999999999" customHeight="1">
      <c r="F125" s="105"/>
      <c r="G125" s="105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02"/>
      <c r="AF125" s="102"/>
      <c r="AG125" s="102"/>
      <c r="AH125" s="102"/>
      <c r="AI125" s="102"/>
      <c r="AJ125" s="102"/>
      <c r="AK125" s="102"/>
      <c r="AL125" s="162"/>
      <c r="AM125" s="162"/>
      <c r="AN125" s="162"/>
      <c r="AO125" s="109"/>
      <c r="AP125" s="109"/>
      <c r="AQ125" s="105"/>
      <c r="AR125" s="102"/>
      <c r="AS125" s="102"/>
    </row>
    <row r="126" spans="1:46" ht="17.649999999999999" customHeight="1">
      <c r="A126" s="163"/>
      <c r="B126" s="217"/>
      <c r="C126" s="217"/>
      <c r="D126" s="163"/>
      <c r="E126" s="163"/>
      <c r="F126" s="106" t="s">
        <v>122</v>
      </c>
      <c r="G126" s="106"/>
      <c r="H126" s="163"/>
      <c r="I126" s="163"/>
      <c r="J126" s="163"/>
      <c r="K126" s="163"/>
      <c r="L126" s="163"/>
      <c r="M126" s="163"/>
      <c r="N126" s="163"/>
      <c r="O126" s="163"/>
      <c r="P126" s="163"/>
      <c r="Q126" s="163"/>
      <c r="R126" s="163"/>
      <c r="S126" s="163"/>
      <c r="T126" s="163"/>
      <c r="U126" s="163"/>
      <c r="V126" s="163"/>
      <c r="W126" s="163"/>
      <c r="X126" s="163"/>
      <c r="Y126" s="163"/>
      <c r="Z126" s="163"/>
      <c r="AA126" s="163"/>
      <c r="AB126" s="163"/>
      <c r="AC126" s="163"/>
      <c r="AD126" s="163"/>
      <c r="AE126" s="163"/>
      <c r="AF126" s="163"/>
      <c r="AG126" s="163"/>
      <c r="AH126" s="163"/>
      <c r="AI126" s="163"/>
      <c r="AJ126" s="163"/>
      <c r="AK126" s="163"/>
      <c r="AL126" s="216" t="s">
        <v>110</v>
      </c>
      <c r="AM126" s="216"/>
      <c r="AN126" s="216"/>
      <c r="AO126" s="216"/>
      <c r="AP126" s="216"/>
      <c r="AQ126" s="216"/>
      <c r="AR126" s="216"/>
      <c r="AS126" s="216"/>
      <c r="AT126" s="163"/>
    </row>
    <row r="127" spans="1:46" ht="17.649999999999999" customHeight="1">
      <c r="A127" s="164"/>
      <c r="B127" s="73"/>
      <c r="C127" s="164"/>
      <c r="D127" s="164"/>
      <c r="E127" s="162"/>
      <c r="F127" s="107" t="s">
        <v>146</v>
      </c>
      <c r="G127" s="107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08" t="s">
        <v>147</v>
      </c>
      <c r="AM127" s="162"/>
      <c r="AN127" s="162"/>
      <c r="AO127" s="109"/>
      <c r="AP127" s="105"/>
      <c r="AQ127" s="105"/>
      <c r="AR127" s="102"/>
      <c r="AS127" s="102"/>
      <c r="AT127" s="162"/>
    </row>
    <row r="128" spans="1:46" ht="29.25" customHeight="1">
      <c r="B128" s="222" t="s">
        <v>179</v>
      </c>
      <c r="C128" s="223"/>
      <c r="D128" s="222"/>
      <c r="E128" s="222"/>
      <c r="F128" s="222"/>
      <c r="G128" s="222"/>
      <c r="H128" s="222"/>
      <c r="I128" s="222"/>
      <c r="J128" s="222"/>
      <c r="K128" s="222"/>
      <c r="L128" s="222"/>
      <c r="M128" s="222"/>
      <c r="N128" s="222"/>
      <c r="O128" s="222"/>
      <c r="P128" s="222"/>
      <c r="Q128" s="222"/>
      <c r="R128" s="222"/>
      <c r="S128" s="222"/>
      <c r="T128" s="222"/>
      <c r="U128" s="222"/>
      <c r="V128" s="222"/>
      <c r="W128" s="222"/>
      <c r="X128" s="222"/>
      <c r="Y128" s="222"/>
      <c r="Z128" s="222"/>
      <c r="AA128" s="222"/>
      <c r="AB128" s="222"/>
      <c r="AC128" s="222"/>
      <c r="AD128" s="222"/>
      <c r="AE128" s="222"/>
      <c r="AF128" s="222"/>
      <c r="AG128" s="222"/>
      <c r="AH128" s="222"/>
      <c r="AI128" s="222"/>
      <c r="AJ128" s="222"/>
      <c r="AK128" s="222"/>
      <c r="AL128" s="222"/>
      <c r="AM128" s="222"/>
      <c r="AN128" s="222"/>
      <c r="AO128" s="222"/>
      <c r="AP128" s="222"/>
      <c r="AQ128" s="222"/>
      <c r="AR128" s="222"/>
      <c r="AS128" s="222"/>
      <c r="AT128" s="222"/>
    </row>
    <row r="129" spans="1:46" ht="29.25" customHeight="1">
      <c r="B129" s="222" t="s">
        <v>0</v>
      </c>
      <c r="C129" s="223"/>
      <c r="D129" s="222"/>
      <c r="E129" s="222"/>
      <c r="F129" s="222"/>
      <c r="G129" s="222"/>
      <c r="H129" s="222"/>
      <c r="I129" s="222"/>
      <c r="J129" s="222"/>
      <c r="K129" s="222"/>
      <c r="L129" s="222"/>
      <c r="M129" s="222"/>
      <c r="N129" s="222"/>
      <c r="O129" s="222"/>
      <c r="P129" s="222"/>
      <c r="Q129" s="222"/>
      <c r="R129" s="222"/>
      <c r="S129" s="222"/>
      <c r="T129" s="222"/>
      <c r="U129" s="222"/>
      <c r="V129" s="222"/>
      <c r="W129" s="222"/>
      <c r="X129" s="222"/>
      <c r="Y129" s="222"/>
      <c r="Z129" s="222"/>
      <c r="AA129" s="222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222"/>
      <c r="AP129" s="222"/>
      <c r="AQ129" s="222"/>
      <c r="AR129" s="222"/>
      <c r="AS129" s="222"/>
      <c r="AT129" s="222"/>
    </row>
    <row r="130" spans="1:46" ht="29.25" customHeight="1" thickBot="1">
      <c r="B130" s="222" t="s">
        <v>187</v>
      </c>
      <c r="C130" s="223"/>
      <c r="D130" s="222"/>
      <c r="E130" s="222"/>
      <c r="F130" s="222"/>
      <c r="G130" s="222"/>
      <c r="H130" s="222"/>
      <c r="I130" s="222"/>
      <c r="J130" s="222"/>
      <c r="K130" s="222"/>
      <c r="L130" s="222"/>
      <c r="M130" s="222"/>
      <c r="N130" s="222"/>
      <c r="O130" s="222"/>
      <c r="P130" s="222"/>
      <c r="Q130" s="222"/>
      <c r="R130" s="222"/>
      <c r="S130" s="222"/>
      <c r="T130" s="222"/>
      <c r="U130" s="222"/>
      <c r="V130" s="222"/>
      <c r="W130" s="222"/>
      <c r="X130" s="222"/>
      <c r="Y130" s="222"/>
      <c r="Z130" s="222"/>
      <c r="AA130" s="222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222"/>
      <c r="AP130" s="222"/>
      <c r="AQ130" s="222"/>
      <c r="AR130" s="222"/>
      <c r="AS130" s="222"/>
      <c r="AT130" s="222"/>
    </row>
    <row r="131" spans="1:46" ht="18.600000000000001" customHeight="1">
      <c r="A131" s="252" t="s">
        <v>1</v>
      </c>
      <c r="B131" s="255" t="s">
        <v>2</v>
      </c>
      <c r="C131" s="256"/>
      <c r="D131" s="138" t="s">
        <v>3</v>
      </c>
      <c r="E131" s="169" t="s">
        <v>4</v>
      </c>
      <c r="F131" s="169" t="s">
        <v>5</v>
      </c>
      <c r="G131" s="169"/>
      <c r="H131" s="259">
        <v>46113</v>
      </c>
      <c r="I131" s="259"/>
      <c r="J131" s="259"/>
      <c r="K131" s="259"/>
      <c r="L131" s="260"/>
      <c r="M131" s="260"/>
      <c r="N131" s="260"/>
      <c r="O131" s="260"/>
      <c r="P131" s="260"/>
      <c r="Q131" s="260"/>
      <c r="R131" s="260"/>
      <c r="S131" s="260"/>
      <c r="T131" s="260"/>
      <c r="U131" s="260"/>
      <c r="V131" s="260"/>
      <c r="W131" s="260"/>
      <c r="X131" s="260"/>
      <c r="Y131" s="260"/>
      <c r="Z131" s="260"/>
      <c r="AA131" s="260"/>
      <c r="AB131" s="260"/>
      <c r="AC131" s="260"/>
      <c r="AD131" s="260"/>
      <c r="AE131" s="260"/>
      <c r="AF131" s="260"/>
      <c r="AG131" s="260"/>
      <c r="AH131" s="260"/>
      <c r="AI131" s="260"/>
      <c r="AJ131" s="260"/>
      <c r="AK131" s="260"/>
      <c r="AL131" s="261" t="s">
        <v>87</v>
      </c>
      <c r="AM131" s="262"/>
      <c r="AN131" s="262"/>
      <c r="AO131" s="262"/>
      <c r="AP131" s="262"/>
      <c r="AQ131" s="262"/>
      <c r="AR131" s="262"/>
      <c r="AS131" s="263"/>
      <c r="AT131" s="142" t="s">
        <v>7</v>
      </c>
    </row>
    <row r="132" spans="1:46" s="116" customFormat="1" ht="21" customHeight="1">
      <c r="A132" s="253"/>
      <c r="B132" s="257"/>
      <c r="C132" s="258"/>
      <c r="D132" s="20" t="s">
        <v>8</v>
      </c>
      <c r="E132" s="170"/>
      <c r="F132" s="170"/>
      <c r="G132" s="170"/>
      <c r="H132" s="170">
        <v>1</v>
      </c>
      <c r="I132" s="170">
        <v>2</v>
      </c>
      <c r="J132" s="139">
        <v>3</v>
      </c>
      <c r="K132" s="170">
        <v>4</v>
      </c>
      <c r="L132" s="139">
        <v>5</v>
      </c>
      <c r="M132" s="170">
        <v>6</v>
      </c>
      <c r="N132" s="170">
        <v>7</v>
      </c>
      <c r="O132" s="170">
        <v>8</v>
      </c>
      <c r="P132" s="170">
        <v>9</v>
      </c>
      <c r="Q132" s="170">
        <v>10</v>
      </c>
      <c r="R132" s="170">
        <v>11</v>
      </c>
      <c r="S132" s="139">
        <v>12</v>
      </c>
      <c r="T132" s="170">
        <v>13</v>
      </c>
      <c r="U132" s="170">
        <v>14</v>
      </c>
      <c r="V132" s="170">
        <v>15</v>
      </c>
      <c r="W132" s="170">
        <v>16</v>
      </c>
      <c r="X132" s="170">
        <v>17</v>
      </c>
      <c r="Y132" s="170">
        <v>18</v>
      </c>
      <c r="Z132" s="139">
        <v>19</v>
      </c>
      <c r="AA132" s="170">
        <v>20</v>
      </c>
      <c r="AB132" s="170">
        <v>21</v>
      </c>
      <c r="AC132" s="170">
        <v>22</v>
      </c>
      <c r="AD132" s="170">
        <v>23</v>
      </c>
      <c r="AE132" s="170">
        <v>24</v>
      </c>
      <c r="AF132" s="170">
        <v>25</v>
      </c>
      <c r="AG132" s="139">
        <v>26</v>
      </c>
      <c r="AH132" s="170">
        <v>27</v>
      </c>
      <c r="AI132" s="170">
        <v>28</v>
      </c>
      <c r="AJ132" s="170">
        <v>29</v>
      </c>
      <c r="AK132" s="170">
        <v>30</v>
      </c>
      <c r="AL132" s="18" t="s">
        <v>9</v>
      </c>
      <c r="AM132" s="19" t="s">
        <v>10</v>
      </c>
      <c r="AN132" s="20" t="s">
        <v>11</v>
      </c>
      <c r="AO132" s="20" t="s">
        <v>12</v>
      </c>
      <c r="AP132" s="20" t="s">
        <v>14</v>
      </c>
      <c r="AQ132" s="20" t="s">
        <v>13</v>
      </c>
      <c r="AR132" s="20" t="s">
        <v>15</v>
      </c>
      <c r="AS132" s="21" t="s">
        <v>16</v>
      </c>
      <c r="AT132" s="143"/>
    </row>
    <row r="133" spans="1:46" ht="18.600000000000001" customHeight="1" thickBot="1">
      <c r="A133" s="254"/>
      <c r="B133" s="264" t="s">
        <v>88</v>
      </c>
      <c r="C133" s="265"/>
      <c r="D133" s="140">
        <v>3</v>
      </c>
      <c r="E133" s="140">
        <v>4</v>
      </c>
      <c r="F133" s="140">
        <v>5</v>
      </c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  <c r="AK133" s="140"/>
      <c r="AL133" s="145"/>
      <c r="AM133" s="168"/>
      <c r="AN133" s="140"/>
      <c r="AO133" s="140"/>
      <c r="AP133" s="140"/>
      <c r="AQ133" s="140"/>
      <c r="AR133" s="140"/>
      <c r="AS133" s="146"/>
      <c r="AT133" s="147"/>
    </row>
    <row r="134" spans="1:46" ht="39" customHeight="1">
      <c r="A134" s="79">
        <v>1</v>
      </c>
      <c r="B134" s="178" t="s">
        <v>122</v>
      </c>
      <c r="C134" s="80" t="s">
        <v>123</v>
      </c>
      <c r="D134" s="85" t="s">
        <v>162</v>
      </c>
      <c r="E134" s="82" t="s">
        <v>19</v>
      </c>
      <c r="F134" s="81" t="s">
        <v>124</v>
      </c>
      <c r="G134" s="79"/>
      <c r="H134" s="79" t="s">
        <v>9</v>
      </c>
      <c r="I134" s="79" t="s">
        <v>9</v>
      </c>
      <c r="J134" s="79"/>
      <c r="K134" s="79" t="s">
        <v>9</v>
      </c>
      <c r="L134" s="79"/>
      <c r="M134" s="79" t="s">
        <v>9</v>
      </c>
      <c r="N134" s="79" t="s">
        <v>9</v>
      </c>
      <c r="O134" s="79" t="s">
        <v>9</v>
      </c>
      <c r="P134" s="79" t="s">
        <v>9</v>
      </c>
      <c r="Q134" s="79" t="s">
        <v>9</v>
      </c>
      <c r="R134" s="79" t="s">
        <v>9</v>
      </c>
      <c r="S134" s="79"/>
      <c r="T134" s="79" t="s">
        <v>9</v>
      </c>
      <c r="U134" s="79" t="s">
        <v>9</v>
      </c>
      <c r="V134" s="79" t="s">
        <v>9</v>
      </c>
      <c r="W134" s="79" t="s">
        <v>9</v>
      </c>
      <c r="X134" s="79" t="s">
        <v>9</v>
      </c>
      <c r="Y134" s="79" t="s">
        <v>9</v>
      </c>
      <c r="Z134" s="79"/>
      <c r="AA134" s="79" t="s">
        <v>9</v>
      </c>
      <c r="AB134" s="79" t="s">
        <v>9</v>
      </c>
      <c r="AC134" s="79" t="s">
        <v>9</v>
      </c>
      <c r="AD134" s="79" t="s">
        <v>9</v>
      </c>
      <c r="AE134" s="79" t="s">
        <v>9</v>
      </c>
      <c r="AF134" s="79" t="s">
        <v>9</v>
      </c>
      <c r="AG134" s="79"/>
      <c r="AH134" s="79" t="s">
        <v>9</v>
      </c>
      <c r="AI134" s="79" t="s">
        <v>9</v>
      </c>
      <c r="AJ134" s="79" t="s">
        <v>9</v>
      </c>
      <c r="AK134" s="79" t="s">
        <v>9</v>
      </c>
      <c r="AL134" s="79">
        <f t="shared" ref="AL134:AL165" si="32">COUNTIF(H134:AK134,"H")</f>
        <v>25</v>
      </c>
      <c r="AM134" s="79">
        <f t="shared" ref="AM134:AM165" si="33">COUNTIF(H134:AK134,"S")</f>
        <v>0</v>
      </c>
      <c r="AN134" s="79">
        <f t="shared" ref="AN134:AN165" si="34">COUNTIF(H134:AK134,"I")</f>
        <v>0</v>
      </c>
      <c r="AO134" s="79">
        <f t="shared" ref="AO134:AO165" si="35">COUNTIF(H134:AK134,"C")</f>
        <v>0</v>
      </c>
      <c r="AP134" s="79">
        <f t="shared" ref="AP134:AP171" si="36">COUNTIF(H134:AK134,"CB")</f>
        <v>0</v>
      </c>
      <c r="AQ134" s="79">
        <f t="shared" ref="AQ134:AQ171" si="37">COUNTIF(H134:AK134,"DL")</f>
        <v>0</v>
      </c>
      <c r="AR134" s="79">
        <f t="shared" ref="AR134:AR165" si="38">COUNTIF(H134:AK134,"IB")</f>
        <v>0</v>
      </c>
      <c r="AS134" s="83">
        <f t="shared" ref="AS134:AS165" si="39">COUNTIF(H134:AK134,"TK")</f>
        <v>0</v>
      </c>
      <c r="AT134" s="84"/>
    </row>
    <row r="135" spans="1:46" ht="39" customHeight="1">
      <c r="A135" s="85">
        <v>2</v>
      </c>
      <c r="B135" s="179" t="s">
        <v>96</v>
      </c>
      <c r="C135" s="81" t="s">
        <v>20</v>
      </c>
      <c r="D135" s="85" t="s">
        <v>36</v>
      </c>
      <c r="E135" s="86" t="s">
        <v>19</v>
      </c>
      <c r="F135" s="81" t="s">
        <v>21</v>
      </c>
      <c r="G135" s="79"/>
      <c r="H135" s="79" t="s">
        <v>9</v>
      </c>
      <c r="I135" s="79" t="s">
        <v>13</v>
      </c>
      <c r="J135" s="79"/>
      <c r="K135" s="79" t="s">
        <v>9</v>
      </c>
      <c r="L135" s="79"/>
      <c r="M135" s="79" t="s">
        <v>9</v>
      </c>
      <c r="N135" s="79" t="s">
        <v>9</v>
      </c>
      <c r="O135" s="79" t="s">
        <v>9</v>
      </c>
      <c r="P135" s="79" t="s">
        <v>9</v>
      </c>
      <c r="Q135" s="79" t="s">
        <v>9</v>
      </c>
      <c r="R135" s="79" t="s">
        <v>9</v>
      </c>
      <c r="S135" s="79"/>
      <c r="T135" s="79" t="s">
        <v>9</v>
      </c>
      <c r="U135" s="79" t="s">
        <v>9</v>
      </c>
      <c r="V135" s="79" t="s">
        <v>9</v>
      </c>
      <c r="W135" s="79" t="s">
        <v>9</v>
      </c>
      <c r="X135" s="79" t="s">
        <v>9</v>
      </c>
      <c r="Y135" s="79" t="s">
        <v>9</v>
      </c>
      <c r="Z135" s="79"/>
      <c r="AA135" s="79" t="s">
        <v>9</v>
      </c>
      <c r="AB135" s="79" t="s">
        <v>9</v>
      </c>
      <c r="AC135" s="79" t="s">
        <v>9</v>
      </c>
      <c r="AD135" s="79" t="s">
        <v>9</v>
      </c>
      <c r="AE135" s="79" t="s">
        <v>9</v>
      </c>
      <c r="AF135" s="79" t="s">
        <v>9</v>
      </c>
      <c r="AG135" s="79"/>
      <c r="AH135" s="79" t="s">
        <v>9</v>
      </c>
      <c r="AI135" s="79" t="s">
        <v>9</v>
      </c>
      <c r="AJ135" s="79" t="s">
        <v>9</v>
      </c>
      <c r="AK135" s="79" t="s">
        <v>9</v>
      </c>
      <c r="AL135" s="85">
        <f t="shared" si="32"/>
        <v>24</v>
      </c>
      <c r="AM135" s="85">
        <f t="shared" si="33"/>
        <v>0</v>
      </c>
      <c r="AN135" s="85">
        <f t="shared" si="34"/>
        <v>0</v>
      </c>
      <c r="AO135" s="85">
        <f t="shared" si="35"/>
        <v>0</v>
      </c>
      <c r="AP135" s="85">
        <f t="shared" si="36"/>
        <v>0</v>
      </c>
      <c r="AQ135" s="85">
        <f t="shared" si="37"/>
        <v>1</v>
      </c>
      <c r="AR135" s="85">
        <f t="shared" si="38"/>
        <v>0</v>
      </c>
      <c r="AS135" s="87">
        <f t="shared" si="39"/>
        <v>0</v>
      </c>
      <c r="AT135" s="84"/>
    </row>
    <row r="136" spans="1:46" ht="39" customHeight="1">
      <c r="A136" s="79">
        <v>3</v>
      </c>
      <c r="B136" s="179" t="s">
        <v>26</v>
      </c>
      <c r="C136" s="81" t="s">
        <v>27</v>
      </c>
      <c r="D136" s="85" t="s">
        <v>90</v>
      </c>
      <c r="E136" s="86" t="s">
        <v>24</v>
      </c>
      <c r="F136" s="81" t="s">
        <v>25</v>
      </c>
      <c r="G136" s="79"/>
      <c r="H136" s="79"/>
      <c r="I136" s="79" t="s">
        <v>9</v>
      </c>
      <c r="J136" s="79"/>
      <c r="K136" s="79" t="s">
        <v>9</v>
      </c>
      <c r="L136" s="79"/>
      <c r="M136" s="79" t="s">
        <v>9</v>
      </c>
      <c r="N136" s="79" t="s">
        <v>9</v>
      </c>
      <c r="O136" s="79" t="s">
        <v>9</v>
      </c>
      <c r="P136" s="79" t="s">
        <v>9</v>
      </c>
      <c r="Q136" s="79" t="s">
        <v>9</v>
      </c>
      <c r="R136" s="79" t="s">
        <v>9</v>
      </c>
      <c r="S136" s="79"/>
      <c r="T136" s="79" t="s">
        <v>9</v>
      </c>
      <c r="U136" s="79" t="s">
        <v>9</v>
      </c>
      <c r="V136" s="79" t="s">
        <v>9</v>
      </c>
      <c r="W136" s="79" t="s">
        <v>9</v>
      </c>
      <c r="X136" s="79" t="s">
        <v>9</v>
      </c>
      <c r="Y136" s="79" t="s">
        <v>9</v>
      </c>
      <c r="Z136" s="79"/>
      <c r="AA136" s="79" t="s">
        <v>9</v>
      </c>
      <c r="AB136" s="79" t="s">
        <v>9</v>
      </c>
      <c r="AC136" s="79" t="s">
        <v>9</v>
      </c>
      <c r="AD136" s="79" t="s">
        <v>11</v>
      </c>
      <c r="AE136" s="79" t="s">
        <v>9</v>
      </c>
      <c r="AF136" s="79" t="s">
        <v>9</v>
      </c>
      <c r="AG136" s="79"/>
      <c r="AH136" s="79" t="s">
        <v>9</v>
      </c>
      <c r="AI136" s="79" t="s">
        <v>9</v>
      </c>
      <c r="AJ136" s="79" t="s">
        <v>9</v>
      </c>
      <c r="AK136" s="79" t="s">
        <v>9</v>
      </c>
      <c r="AL136" s="85">
        <f t="shared" si="32"/>
        <v>23</v>
      </c>
      <c r="AM136" s="85">
        <f t="shared" si="33"/>
        <v>0</v>
      </c>
      <c r="AN136" s="85">
        <f t="shared" si="34"/>
        <v>1</v>
      </c>
      <c r="AO136" s="85">
        <f t="shared" si="35"/>
        <v>0</v>
      </c>
      <c r="AP136" s="85">
        <f t="shared" si="36"/>
        <v>0</v>
      </c>
      <c r="AQ136" s="85">
        <f t="shared" si="37"/>
        <v>0</v>
      </c>
      <c r="AR136" s="85">
        <f t="shared" si="38"/>
        <v>0</v>
      </c>
      <c r="AS136" s="87">
        <f t="shared" si="39"/>
        <v>0</v>
      </c>
      <c r="AT136" s="84"/>
    </row>
    <row r="137" spans="1:46" ht="39" customHeight="1">
      <c r="A137" s="85">
        <v>4</v>
      </c>
      <c r="B137" s="179" t="s">
        <v>22</v>
      </c>
      <c r="C137" s="81" t="s">
        <v>23</v>
      </c>
      <c r="D137" s="85" t="s">
        <v>90</v>
      </c>
      <c r="E137" s="86" t="s">
        <v>24</v>
      </c>
      <c r="F137" s="81" t="s">
        <v>25</v>
      </c>
      <c r="G137" s="79"/>
      <c r="H137" s="79" t="s">
        <v>9</v>
      </c>
      <c r="I137" s="79" t="s">
        <v>11</v>
      </c>
      <c r="J137" s="79"/>
      <c r="K137" s="79" t="s">
        <v>11</v>
      </c>
      <c r="L137" s="79"/>
      <c r="M137" s="79" t="s">
        <v>11</v>
      </c>
      <c r="N137" s="79" t="s">
        <v>9</v>
      </c>
      <c r="O137" s="79" t="s">
        <v>9</v>
      </c>
      <c r="P137" s="79" t="s">
        <v>9</v>
      </c>
      <c r="Q137" s="79" t="s">
        <v>9</v>
      </c>
      <c r="R137" s="79" t="s">
        <v>9</v>
      </c>
      <c r="S137" s="79"/>
      <c r="T137" s="79" t="s">
        <v>9</v>
      </c>
      <c r="U137" s="79" t="s">
        <v>9</v>
      </c>
      <c r="V137" s="79" t="s">
        <v>9</v>
      </c>
      <c r="W137" s="79" t="s">
        <v>11</v>
      </c>
      <c r="X137" s="79" t="s">
        <v>9</v>
      </c>
      <c r="Y137" s="79" t="s">
        <v>9</v>
      </c>
      <c r="Z137" s="79"/>
      <c r="AA137" s="79" t="s">
        <v>9</v>
      </c>
      <c r="AB137" s="79" t="s">
        <v>9</v>
      </c>
      <c r="AC137" s="79" t="s">
        <v>9</v>
      </c>
      <c r="AD137" s="79" t="s">
        <v>11</v>
      </c>
      <c r="AE137" s="79" t="s">
        <v>9</v>
      </c>
      <c r="AF137" s="79"/>
      <c r="AG137" s="79"/>
      <c r="AH137" s="79" t="s">
        <v>9</v>
      </c>
      <c r="AI137" s="79" t="s">
        <v>9</v>
      </c>
      <c r="AJ137" s="79" t="s">
        <v>11</v>
      </c>
      <c r="AK137" s="79" t="s">
        <v>9</v>
      </c>
      <c r="AL137" s="85">
        <f t="shared" si="32"/>
        <v>18</v>
      </c>
      <c r="AM137" s="85">
        <f t="shared" si="33"/>
        <v>0</v>
      </c>
      <c r="AN137" s="85">
        <f t="shared" si="34"/>
        <v>6</v>
      </c>
      <c r="AO137" s="85">
        <f t="shared" si="35"/>
        <v>0</v>
      </c>
      <c r="AP137" s="85">
        <f t="shared" si="36"/>
        <v>0</v>
      </c>
      <c r="AQ137" s="85">
        <f t="shared" si="37"/>
        <v>0</v>
      </c>
      <c r="AR137" s="85">
        <f t="shared" si="38"/>
        <v>0</v>
      </c>
      <c r="AS137" s="87">
        <f t="shared" si="39"/>
        <v>0</v>
      </c>
      <c r="AT137" s="84"/>
    </row>
    <row r="138" spans="1:46" ht="39" customHeight="1">
      <c r="A138" s="79">
        <v>5</v>
      </c>
      <c r="B138" s="179" t="s">
        <v>28</v>
      </c>
      <c r="C138" s="81" t="s">
        <v>29</v>
      </c>
      <c r="D138" s="85" t="s">
        <v>121</v>
      </c>
      <c r="E138" s="86" t="s">
        <v>24</v>
      </c>
      <c r="F138" s="81" t="s">
        <v>181</v>
      </c>
      <c r="G138" s="79"/>
      <c r="H138" s="79" t="s">
        <v>9</v>
      </c>
      <c r="I138" s="79" t="s">
        <v>9</v>
      </c>
      <c r="J138" s="79"/>
      <c r="K138" s="79" t="s">
        <v>11</v>
      </c>
      <c r="L138" s="79"/>
      <c r="M138" s="79" t="s">
        <v>13</v>
      </c>
      <c r="N138" s="79" t="s">
        <v>9</v>
      </c>
      <c r="O138" s="79" t="s">
        <v>9</v>
      </c>
      <c r="P138" s="79" t="s">
        <v>9</v>
      </c>
      <c r="Q138" s="79" t="s">
        <v>9</v>
      </c>
      <c r="R138" s="79" t="s">
        <v>9</v>
      </c>
      <c r="S138" s="79"/>
      <c r="T138" s="79" t="s">
        <v>9</v>
      </c>
      <c r="U138" s="79" t="s">
        <v>13</v>
      </c>
      <c r="V138" s="79" t="s">
        <v>9</v>
      </c>
      <c r="W138" s="79" t="s">
        <v>9</v>
      </c>
      <c r="X138" s="79" t="s">
        <v>9</v>
      </c>
      <c r="Y138" s="79" t="s">
        <v>9</v>
      </c>
      <c r="Z138" s="79"/>
      <c r="AA138" s="79" t="s">
        <v>9</v>
      </c>
      <c r="AB138" s="79" t="s">
        <v>9</v>
      </c>
      <c r="AC138" s="79" t="s">
        <v>9</v>
      </c>
      <c r="AD138" s="79"/>
      <c r="AE138" s="79" t="s">
        <v>9</v>
      </c>
      <c r="AF138" s="79" t="s">
        <v>9</v>
      </c>
      <c r="AG138" s="79"/>
      <c r="AH138" s="79" t="s">
        <v>9</v>
      </c>
      <c r="AI138" s="79" t="s">
        <v>9</v>
      </c>
      <c r="AJ138" s="79" t="s">
        <v>9</v>
      </c>
      <c r="AK138" s="79" t="s">
        <v>9</v>
      </c>
      <c r="AL138" s="85">
        <f t="shared" si="32"/>
        <v>21</v>
      </c>
      <c r="AM138" s="85">
        <f t="shared" si="33"/>
        <v>0</v>
      </c>
      <c r="AN138" s="85">
        <f t="shared" si="34"/>
        <v>1</v>
      </c>
      <c r="AO138" s="85">
        <f t="shared" si="35"/>
        <v>0</v>
      </c>
      <c r="AP138" s="85">
        <f t="shared" si="36"/>
        <v>0</v>
      </c>
      <c r="AQ138" s="85">
        <f t="shared" si="37"/>
        <v>2</v>
      </c>
      <c r="AR138" s="85">
        <f t="shared" si="38"/>
        <v>0</v>
      </c>
      <c r="AS138" s="87">
        <f t="shared" si="39"/>
        <v>0</v>
      </c>
      <c r="AT138" s="84"/>
    </row>
    <row r="139" spans="1:46" ht="39" customHeight="1">
      <c r="A139" s="85">
        <v>6</v>
      </c>
      <c r="B139" s="179" t="s">
        <v>30</v>
      </c>
      <c r="C139" s="81" t="s">
        <v>31</v>
      </c>
      <c r="D139" s="85" t="s">
        <v>36</v>
      </c>
      <c r="E139" s="86" t="s">
        <v>24</v>
      </c>
      <c r="F139" s="81" t="s">
        <v>91</v>
      </c>
      <c r="G139" s="79"/>
      <c r="H139" s="79" t="s">
        <v>9</v>
      </c>
      <c r="I139" s="79" t="s">
        <v>9</v>
      </c>
      <c r="J139" s="79"/>
      <c r="K139" s="79" t="s">
        <v>9</v>
      </c>
      <c r="L139" s="79"/>
      <c r="M139" s="79" t="s">
        <v>9</v>
      </c>
      <c r="N139" s="79" t="s">
        <v>9</v>
      </c>
      <c r="O139" s="79" t="s">
        <v>9</v>
      </c>
      <c r="P139" s="79" t="s">
        <v>9</v>
      </c>
      <c r="Q139" s="79" t="s">
        <v>12</v>
      </c>
      <c r="R139" s="79" t="s">
        <v>12</v>
      </c>
      <c r="S139" s="79"/>
      <c r="T139" s="79" t="s">
        <v>12</v>
      </c>
      <c r="U139" s="79" t="s">
        <v>12</v>
      </c>
      <c r="V139" s="79" t="s">
        <v>12</v>
      </c>
      <c r="W139" s="79" t="s">
        <v>12</v>
      </c>
      <c r="X139" s="79" t="s">
        <v>12</v>
      </c>
      <c r="Y139" s="79" t="s">
        <v>12</v>
      </c>
      <c r="Z139" s="79"/>
      <c r="AA139" s="79" t="s">
        <v>12</v>
      </c>
      <c r="AB139" s="79" t="s">
        <v>12</v>
      </c>
      <c r="AC139" s="79" t="s">
        <v>12</v>
      </c>
      <c r="AD139" s="79" t="s">
        <v>12</v>
      </c>
      <c r="AE139" s="79" t="s">
        <v>9</v>
      </c>
      <c r="AF139" s="79" t="s">
        <v>9</v>
      </c>
      <c r="AG139" s="79"/>
      <c r="AH139" s="79" t="s">
        <v>9</v>
      </c>
      <c r="AI139" s="79"/>
      <c r="AJ139" s="79" t="s">
        <v>9</v>
      </c>
      <c r="AK139" s="79" t="s">
        <v>9</v>
      </c>
      <c r="AL139" s="85">
        <f t="shared" si="32"/>
        <v>12</v>
      </c>
      <c r="AM139" s="85">
        <f t="shared" si="33"/>
        <v>0</v>
      </c>
      <c r="AN139" s="85">
        <f t="shared" si="34"/>
        <v>0</v>
      </c>
      <c r="AO139" s="85">
        <f t="shared" si="35"/>
        <v>12</v>
      </c>
      <c r="AP139" s="85">
        <f t="shared" si="36"/>
        <v>0</v>
      </c>
      <c r="AQ139" s="85">
        <f t="shared" si="37"/>
        <v>0</v>
      </c>
      <c r="AR139" s="85">
        <f t="shared" si="38"/>
        <v>0</v>
      </c>
      <c r="AS139" s="87">
        <f t="shared" si="39"/>
        <v>0</v>
      </c>
      <c r="AT139" s="84"/>
    </row>
    <row r="140" spans="1:46" ht="39" customHeight="1">
      <c r="A140" s="79">
        <v>7</v>
      </c>
      <c r="B140" s="179" t="s">
        <v>32</v>
      </c>
      <c r="C140" s="81" t="s">
        <v>33</v>
      </c>
      <c r="D140" s="85" t="s">
        <v>18</v>
      </c>
      <c r="E140" s="86" t="s">
        <v>24</v>
      </c>
      <c r="F140" s="81" t="s">
        <v>182</v>
      </c>
      <c r="G140" s="79"/>
      <c r="H140" s="79" t="s">
        <v>9</v>
      </c>
      <c r="I140" s="79" t="s">
        <v>9</v>
      </c>
      <c r="J140" s="79"/>
      <c r="K140" s="79" t="s">
        <v>9</v>
      </c>
      <c r="L140" s="79"/>
      <c r="M140" s="79" t="s">
        <v>9</v>
      </c>
      <c r="N140" s="79" t="s">
        <v>9</v>
      </c>
      <c r="O140" s="79" t="s">
        <v>9</v>
      </c>
      <c r="P140" s="79" t="s">
        <v>9</v>
      </c>
      <c r="Q140" s="79" t="s">
        <v>9</v>
      </c>
      <c r="R140" s="79" t="s">
        <v>9</v>
      </c>
      <c r="S140" s="79"/>
      <c r="T140" s="79" t="s">
        <v>9</v>
      </c>
      <c r="U140" s="79" t="s">
        <v>9</v>
      </c>
      <c r="V140" s="79" t="s">
        <v>9</v>
      </c>
      <c r="W140" s="79" t="s">
        <v>9</v>
      </c>
      <c r="X140" s="79" t="s">
        <v>9</v>
      </c>
      <c r="Y140" s="79" t="s">
        <v>9</v>
      </c>
      <c r="Z140" s="79"/>
      <c r="AA140" s="79" t="s">
        <v>9</v>
      </c>
      <c r="AB140" s="79" t="s">
        <v>9</v>
      </c>
      <c r="AC140" s="79" t="s">
        <v>9</v>
      </c>
      <c r="AD140" s="79" t="s">
        <v>9</v>
      </c>
      <c r="AE140" s="79" t="s">
        <v>9</v>
      </c>
      <c r="AF140" s="79" t="s">
        <v>9</v>
      </c>
      <c r="AG140" s="79"/>
      <c r="AH140" s="79" t="s">
        <v>9</v>
      </c>
      <c r="AI140" s="79" t="s">
        <v>9</v>
      </c>
      <c r="AJ140" s="79" t="s">
        <v>9</v>
      </c>
      <c r="AK140" s="79" t="s">
        <v>9</v>
      </c>
      <c r="AL140" s="85">
        <f t="shared" si="32"/>
        <v>25</v>
      </c>
      <c r="AM140" s="85">
        <f t="shared" si="33"/>
        <v>0</v>
      </c>
      <c r="AN140" s="85">
        <f t="shared" si="34"/>
        <v>0</v>
      </c>
      <c r="AO140" s="85">
        <f t="shared" si="35"/>
        <v>0</v>
      </c>
      <c r="AP140" s="85">
        <f t="shared" si="36"/>
        <v>0</v>
      </c>
      <c r="AQ140" s="85">
        <f t="shared" si="37"/>
        <v>0</v>
      </c>
      <c r="AR140" s="85">
        <f t="shared" si="38"/>
        <v>0</v>
      </c>
      <c r="AS140" s="87">
        <f t="shared" si="39"/>
        <v>0</v>
      </c>
      <c r="AT140" s="84"/>
    </row>
    <row r="141" spans="1:46" ht="39" customHeight="1">
      <c r="A141" s="85">
        <v>8</v>
      </c>
      <c r="B141" s="179" t="s">
        <v>34</v>
      </c>
      <c r="C141" s="81" t="s">
        <v>35</v>
      </c>
      <c r="D141" s="85" t="s">
        <v>18</v>
      </c>
      <c r="E141" s="86" t="s">
        <v>24</v>
      </c>
      <c r="F141" s="81" t="s">
        <v>95</v>
      </c>
      <c r="G141" s="79"/>
      <c r="H141" s="79"/>
      <c r="I141" s="79" t="s">
        <v>9</v>
      </c>
      <c r="J141" s="79"/>
      <c r="K141" s="79" t="s">
        <v>9</v>
      </c>
      <c r="L141" s="79"/>
      <c r="M141" s="79" t="s">
        <v>9</v>
      </c>
      <c r="N141" s="79" t="s">
        <v>9</v>
      </c>
      <c r="O141" s="79"/>
      <c r="P141" s="79"/>
      <c r="Q141" s="79" t="s">
        <v>9</v>
      </c>
      <c r="R141" s="79" t="s">
        <v>9</v>
      </c>
      <c r="S141" s="79"/>
      <c r="T141" s="79" t="s">
        <v>9</v>
      </c>
      <c r="U141" s="79" t="s">
        <v>9</v>
      </c>
      <c r="V141" s="79" t="s">
        <v>9</v>
      </c>
      <c r="W141" s="79" t="s">
        <v>9</v>
      </c>
      <c r="X141" s="79" t="s">
        <v>9</v>
      </c>
      <c r="Y141" s="79" t="s">
        <v>9</v>
      </c>
      <c r="Z141" s="79"/>
      <c r="AA141" s="79" t="s">
        <v>9</v>
      </c>
      <c r="AB141" s="79"/>
      <c r="AC141" s="79" t="s">
        <v>9</v>
      </c>
      <c r="AD141" s="79" t="s">
        <v>9</v>
      </c>
      <c r="AE141" s="79" t="s">
        <v>9</v>
      </c>
      <c r="AF141" s="79" t="s">
        <v>9</v>
      </c>
      <c r="AG141" s="79"/>
      <c r="AH141" s="79" t="s">
        <v>9</v>
      </c>
      <c r="AI141" s="79" t="s">
        <v>9</v>
      </c>
      <c r="AJ141" s="79" t="s">
        <v>9</v>
      </c>
      <c r="AK141" s="79" t="s">
        <v>9</v>
      </c>
      <c r="AL141" s="85">
        <f t="shared" si="32"/>
        <v>21</v>
      </c>
      <c r="AM141" s="85">
        <f t="shared" si="33"/>
        <v>0</v>
      </c>
      <c r="AN141" s="85">
        <f t="shared" si="34"/>
        <v>0</v>
      </c>
      <c r="AO141" s="85">
        <f t="shared" si="35"/>
        <v>0</v>
      </c>
      <c r="AP141" s="85">
        <f t="shared" si="36"/>
        <v>0</v>
      </c>
      <c r="AQ141" s="85">
        <f t="shared" si="37"/>
        <v>0</v>
      </c>
      <c r="AR141" s="85">
        <f t="shared" si="38"/>
        <v>0</v>
      </c>
      <c r="AS141" s="87">
        <f t="shared" si="39"/>
        <v>0</v>
      </c>
      <c r="AT141" s="84"/>
    </row>
    <row r="142" spans="1:46" ht="39" customHeight="1">
      <c r="A142" s="79">
        <v>9</v>
      </c>
      <c r="B142" s="179" t="s">
        <v>39</v>
      </c>
      <c r="C142" s="81" t="s">
        <v>40</v>
      </c>
      <c r="D142" s="85" t="s">
        <v>18</v>
      </c>
      <c r="E142" s="86" t="s">
        <v>24</v>
      </c>
      <c r="F142" s="81" t="s">
        <v>38</v>
      </c>
      <c r="G142" s="79"/>
      <c r="H142" s="79" t="s">
        <v>13</v>
      </c>
      <c r="I142" s="79" t="s">
        <v>9</v>
      </c>
      <c r="J142" s="79"/>
      <c r="K142" s="79" t="s">
        <v>9</v>
      </c>
      <c r="L142" s="79"/>
      <c r="M142" s="79" t="s">
        <v>13</v>
      </c>
      <c r="N142" s="79" t="s">
        <v>9</v>
      </c>
      <c r="O142" s="79" t="s">
        <v>9</v>
      </c>
      <c r="P142" s="79" t="s">
        <v>9</v>
      </c>
      <c r="Q142" s="79" t="s">
        <v>9</v>
      </c>
      <c r="R142" s="79" t="s">
        <v>9</v>
      </c>
      <c r="S142" s="79"/>
      <c r="T142" s="79" t="s">
        <v>9</v>
      </c>
      <c r="U142" s="79" t="s">
        <v>9</v>
      </c>
      <c r="V142" s="79" t="s">
        <v>9</v>
      </c>
      <c r="W142" s="79" t="s">
        <v>9</v>
      </c>
      <c r="X142" s="79" t="s">
        <v>9</v>
      </c>
      <c r="Y142" s="79" t="s">
        <v>9</v>
      </c>
      <c r="Z142" s="79"/>
      <c r="AA142" s="79" t="s">
        <v>9</v>
      </c>
      <c r="AB142" s="79" t="s">
        <v>9</v>
      </c>
      <c r="AC142" s="79" t="s">
        <v>9</v>
      </c>
      <c r="AD142" s="79" t="s">
        <v>9</v>
      </c>
      <c r="AE142" s="79" t="s">
        <v>9</v>
      </c>
      <c r="AF142" s="79" t="s">
        <v>9</v>
      </c>
      <c r="AG142" s="79"/>
      <c r="AH142" s="79" t="s">
        <v>9</v>
      </c>
      <c r="AI142" s="79" t="s">
        <v>9</v>
      </c>
      <c r="AJ142" s="79" t="s">
        <v>9</v>
      </c>
      <c r="AK142" s="79" t="s">
        <v>9</v>
      </c>
      <c r="AL142" s="85">
        <f t="shared" si="32"/>
        <v>23</v>
      </c>
      <c r="AM142" s="85">
        <f t="shared" si="33"/>
        <v>0</v>
      </c>
      <c r="AN142" s="85">
        <f t="shared" si="34"/>
        <v>0</v>
      </c>
      <c r="AO142" s="85">
        <f t="shared" si="35"/>
        <v>0</v>
      </c>
      <c r="AP142" s="85">
        <f t="shared" si="36"/>
        <v>0</v>
      </c>
      <c r="AQ142" s="85">
        <f t="shared" si="37"/>
        <v>2</v>
      </c>
      <c r="AR142" s="85">
        <f t="shared" si="38"/>
        <v>0</v>
      </c>
      <c r="AS142" s="87">
        <f t="shared" si="39"/>
        <v>0</v>
      </c>
      <c r="AT142" s="84"/>
    </row>
    <row r="143" spans="1:46" ht="39" customHeight="1">
      <c r="A143" s="85">
        <v>10</v>
      </c>
      <c r="B143" s="179" t="s">
        <v>97</v>
      </c>
      <c r="C143" s="81" t="s">
        <v>37</v>
      </c>
      <c r="D143" s="85" t="s">
        <v>18</v>
      </c>
      <c r="E143" s="86" t="s">
        <v>24</v>
      </c>
      <c r="F143" s="81" t="s">
        <v>161</v>
      </c>
      <c r="G143" s="79"/>
      <c r="H143" s="79" t="s">
        <v>9</v>
      </c>
      <c r="I143" s="79" t="s">
        <v>9</v>
      </c>
      <c r="J143" s="79"/>
      <c r="K143" s="79" t="s">
        <v>9</v>
      </c>
      <c r="L143" s="79"/>
      <c r="M143" s="79" t="s">
        <v>9</v>
      </c>
      <c r="N143" s="79" t="s">
        <v>9</v>
      </c>
      <c r="O143" s="79" t="s">
        <v>9</v>
      </c>
      <c r="P143" s="79" t="s">
        <v>9</v>
      </c>
      <c r="Q143" s="79" t="s">
        <v>9</v>
      </c>
      <c r="R143" s="79" t="s">
        <v>9</v>
      </c>
      <c r="S143" s="79"/>
      <c r="T143" s="79" t="s">
        <v>9</v>
      </c>
      <c r="U143" s="79" t="s">
        <v>9</v>
      </c>
      <c r="V143" s="79" t="s">
        <v>9</v>
      </c>
      <c r="W143" s="79" t="s">
        <v>9</v>
      </c>
      <c r="X143" s="79" t="s">
        <v>9</v>
      </c>
      <c r="Y143" s="79" t="s">
        <v>9</v>
      </c>
      <c r="Z143" s="79"/>
      <c r="AA143" s="79" t="s">
        <v>9</v>
      </c>
      <c r="AB143" s="79" t="s">
        <v>9</v>
      </c>
      <c r="AC143" s="79" t="s">
        <v>9</v>
      </c>
      <c r="AD143" s="79" t="s">
        <v>9</v>
      </c>
      <c r="AE143" s="79" t="s">
        <v>9</v>
      </c>
      <c r="AF143" s="79" t="s">
        <v>9</v>
      </c>
      <c r="AG143" s="79"/>
      <c r="AH143" s="79" t="s">
        <v>9</v>
      </c>
      <c r="AI143" s="79" t="s">
        <v>9</v>
      </c>
      <c r="AJ143" s="79" t="s">
        <v>9</v>
      </c>
      <c r="AK143" s="79" t="s">
        <v>9</v>
      </c>
      <c r="AL143" s="85">
        <f t="shared" si="32"/>
        <v>25</v>
      </c>
      <c r="AM143" s="85">
        <f t="shared" si="33"/>
        <v>0</v>
      </c>
      <c r="AN143" s="85">
        <f t="shared" si="34"/>
        <v>0</v>
      </c>
      <c r="AO143" s="85">
        <f t="shared" si="35"/>
        <v>0</v>
      </c>
      <c r="AP143" s="85">
        <f t="shared" si="36"/>
        <v>0</v>
      </c>
      <c r="AQ143" s="85">
        <f t="shared" si="37"/>
        <v>0</v>
      </c>
      <c r="AR143" s="85">
        <f t="shared" si="38"/>
        <v>0</v>
      </c>
      <c r="AS143" s="87">
        <f t="shared" si="39"/>
        <v>0</v>
      </c>
      <c r="AT143" s="84"/>
    </row>
    <row r="144" spans="1:46" ht="39" customHeight="1">
      <c r="A144" s="79">
        <v>11</v>
      </c>
      <c r="B144" s="179" t="s">
        <v>41</v>
      </c>
      <c r="C144" s="81" t="s">
        <v>42</v>
      </c>
      <c r="D144" s="85" t="s">
        <v>18</v>
      </c>
      <c r="E144" s="86" t="s">
        <v>24</v>
      </c>
      <c r="F144" s="81" t="s">
        <v>38</v>
      </c>
      <c r="G144" s="79"/>
      <c r="H144" s="79" t="s">
        <v>13</v>
      </c>
      <c r="I144" s="79" t="s">
        <v>13</v>
      </c>
      <c r="J144" s="79"/>
      <c r="K144" s="79" t="s">
        <v>9</v>
      </c>
      <c r="L144" s="79"/>
      <c r="M144" s="79" t="s">
        <v>9</v>
      </c>
      <c r="N144" s="79" t="s">
        <v>9</v>
      </c>
      <c r="O144" s="79" t="s">
        <v>9</v>
      </c>
      <c r="P144" s="79" t="s">
        <v>9</v>
      </c>
      <c r="Q144" s="79" t="s">
        <v>9</v>
      </c>
      <c r="R144" s="79" t="s">
        <v>9</v>
      </c>
      <c r="S144" s="79"/>
      <c r="T144" s="79" t="s">
        <v>9</v>
      </c>
      <c r="U144" s="79" t="s">
        <v>9</v>
      </c>
      <c r="V144" s="79" t="s">
        <v>9</v>
      </c>
      <c r="W144" s="79" t="s">
        <v>13</v>
      </c>
      <c r="X144" s="79"/>
      <c r="Y144" s="79" t="s">
        <v>9</v>
      </c>
      <c r="Z144" s="79"/>
      <c r="AA144" s="79" t="s">
        <v>9</v>
      </c>
      <c r="AB144" s="79" t="s">
        <v>9</v>
      </c>
      <c r="AC144" s="79" t="s">
        <v>9</v>
      </c>
      <c r="AD144" s="79" t="s">
        <v>9</v>
      </c>
      <c r="AE144" s="79" t="s">
        <v>9</v>
      </c>
      <c r="AF144" s="79" t="s">
        <v>9</v>
      </c>
      <c r="AG144" s="79"/>
      <c r="AH144" s="79" t="s">
        <v>9</v>
      </c>
      <c r="AI144" s="79" t="s">
        <v>9</v>
      </c>
      <c r="AJ144" s="79" t="s">
        <v>9</v>
      </c>
      <c r="AK144" s="79" t="s">
        <v>9</v>
      </c>
      <c r="AL144" s="85">
        <f t="shared" si="32"/>
        <v>21</v>
      </c>
      <c r="AM144" s="85">
        <f t="shared" si="33"/>
        <v>0</v>
      </c>
      <c r="AN144" s="85">
        <f t="shared" si="34"/>
        <v>0</v>
      </c>
      <c r="AO144" s="85">
        <f t="shared" si="35"/>
        <v>0</v>
      </c>
      <c r="AP144" s="85">
        <f t="shared" si="36"/>
        <v>0</v>
      </c>
      <c r="AQ144" s="85">
        <f t="shared" si="37"/>
        <v>3</v>
      </c>
      <c r="AR144" s="85">
        <f t="shared" si="38"/>
        <v>0</v>
      </c>
      <c r="AS144" s="87">
        <f t="shared" si="39"/>
        <v>0</v>
      </c>
      <c r="AT144" s="84"/>
    </row>
    <row r="145" spans="1:46" ht="39" customHeight="1">
      <c r="A145" s="85">
        <v>12</v>
      </c>
      <c r="B145" s="179" t="s">
        <v>43</v>
      </c>
      <c r="C145" s="81" t="s">
        <v>44</v>
      </c>
      <c r="D145" s="85" t="s">
        <v>18</v>
      </c>
      <c r="E145" s="86" t="s">
        <v>24</v>
      </c>
      <c r="F145" s="81" t="s">
        <v>38</v>
      </c>
      <c r="G145" s="79"/>
      <c r="H145" s="79" t="s">
        <v>9</v>
      </c>
      <c r="I145" s="79" t="s">
        <v>9</v>
      </c>
      <c r="J145" s="79"/>
      <c r="K145" s="79" t="s">
        <v>9</v>
      </c>
      <c r="L145" s="79"/>
      <c r="M145" s="79" t="s">
        <v>9</v>
      </c>
      <c r="N145" s="79" t="s">
        <v>9</v>
      </c>
      <c r="O145" s="79" t="s">
        <v>9</v>
      </c>
      <c r="P145" s="79" t="s">
        <v>9</v>
      </c>
      <c r="Q145" s="79" t="s">
        <v>13</v>
      </c>
      <c r="R145" s="79" t="s">
        <v>9</v>
      </c>
      <c r="S145" s="79"/>
      <c r="T145" s="79" t="s">
        <v>9</v>
      </c>
      <c r="U145" s="79" t="s">
        <v>9</v>
      </c>
      <c r="V145" s="79" t="s">
        <v>9</v>
      </c>
      <c r="W145" s="79" t="s">
        <v>9</v>
      </c>
      <c r="X145" s="79" t="s">
        <v>9</v>
      </c>
      <c r="Y145" s="79" t="s">
        <v>9</v>
      </c>
      <c r="Z145" s="79"/>
      <c r="AA145" s="79" t="s">
        <v>9</v>
      </c>
      <c r="AB145" s="79" t="s">
        <v>9</v>
      </c>
      <c r="AC145" s="79" t="s">
        <v>9</v>
      </c>
      <c r="AD145" s="79" t="s">
        <v>11</v>
      </c>
      <c r="AE145" s="79" t="s">
        <v>9</v>
      </c>
      <c r="AF145" s="79" t="s">
        <v>9</v>
      </c>
      <c r="AG145" s="79"/>
      <c r="AH145" s="79" t="s">
        <v>9</v>
      </c>
      <c r="AI145" s="79" t="s">
        <v>9</v>
      </c>
      <c r="AJ145" s="79" t="s">
        <v>9</v>
      </c>
      <c r="AK145" s="79" t="s">
        <v>9</v>
      </c>
      <c r="AL145" s="85">
        <f t="shared" si="32"/>
        <v>23</v>
      </c>
      <c r="AM145" s="85">
        <f t="shared" si="33"/>
        <v>0</v>
      </c>
      <c r="AN145" s="85">
        <f t="shared" si="34"/>
        <v>1</v>
      </c>
      <c r="AO145" s="85">
        <f t="shared" si="35"/>
        <v>0</v>
      </c>
      <c r="AP145" s="85">
        <f t="shared" si="36"/>
        <v>0</v>
      </c>
      <c r="AQ145" s="85">
        <f t="shared" si="37"/>
        <v>1</v>
      </c>
      <c r="AR145" s="85">
        <f t="shared" si="38"/>
        <v>0</v>
      </c>
      <c r="AS145" s="87">
        <f t="shared" si="39"/>
        <v>0</v>
      </c>
      <c r="AT145" s="84"/>
    </row>
    <row r="146" spans="1:46" ht="39" customHeight="1">
      <c r="A146" s="79">
        <v>13</v>
      </c>
      <c r="B146" s="179" t="s">
        <v>45</v>
      </c>
      <c r="C146" s="81" t="s">
        <v>46</v>
      </c>
      <c r="D146" s="85" t="s">
        <v>18</v>
      </c>
      <c r="E146" s="86" t="s">
        <v>24</v>
      </c>
      <c r="F146" s="81" t="s">
        <v>38</v>
      </c>
      <c r="G146" s="79"/>
      <c r="H146" s="79" t="s">
        <v>9</v>
      </c>
      <c r="I146" s="79" t="s">
        <v>9</v>
      </c>
      <c r="J146" s="79"/>
      <c r="K146" s="79" t="s">
        <v>9</v>
      </c>
      <c r="L146" s="79"/>
      <c r="M146" s="79" t="s">
        <v>9</v>
      </c>
      <c r="N146" s="79" t="s">
        <v>9</v>
      </c>
      <c r="O146" s="79" t="s">
        <v>9</v>
      </c>
      <c r="P146" s="79" t="s">
        <v>9</v>
      </c>
      <c r="Q146" s="79" t="s">
        <v>9</v>
      </c>
      <c r="R146" s="79" t="s">
        <v>9</v>
      </c>
      <c r="S146" s="79"/>
      <c r="T146" s="79" t="s">
        <v>9</v>
      </c>
      <c r="U146" s="79" t="s">
        <v>9</v>
      </c>
      <c r="V146" s="79" t="s">
        <v>9</v>
      </c>
      <c r="W146" s="79" t="s">
        <v>9</v>
      </c>
      <c r="X146" s="79" t="s">
        <v>9</v>
      </c>
      <c r="Y146" s="79" t="s">
        <v>9</v>
      </c>
      <c r="Z146" s="79"/>
      <c r="AA146" s="79" t="s">
        <v>9</v>
      </c>
      <c r="AB146" s="79" t="s">
        <v>9</v>
      </c>
      <c r="AC146" s="79" t="s">
        <v>9</v>
      </c>
      <c r="AD146" s="79" t="s">
        <v>9</v>
      </c>
      <c r="AE146" s="79" t="s">
        <v>9</v>
      </c>
      <c r="AF146" s="79"/>
      <c r="AG146" s="79"/>
      <c r="AH146" s="79" t="s">
        <v>9</v>
      </c>
      <c r="AI146" s="79" t="s">
        <v>9</v>
      </c>
      <c r="AJ146" s="79" t="s">
        <v>9</v>
      </c>
      <c r="AK146" s="79" t="s">
        <v>9</v>
      </c>
      <c r="AL146" s="85">
        <f t="shared" si="32"/>
        <v>24</v>
      </c>
      <c r="AM146" s="85">
        <f t="shared" si="33"/>
        <v>0</v>
      </c>
      <c r="AN146" s="85">
        <f t="shared" si="34"/>
        <v>0</v>
      </c>
      <c r="AO146" s="85">
        <f t="shared" si="35"/>
        <v>0</v>
      </c>
      <c r="AP146" s="85">
        <f t="shared" si="36"/>
        <v>0</v>
      </c>
      <c r="AQ146" s="85">
        <f t="shared" si="37"/>
        <v>0</v>
      </c>
      <c r="AR146" s="85">
        <f t="shared" si="38"/>
        <v>0</v>
      </c>
      <c r="AS146" s="87">
        <f t="shared" si="39"/>
        <v>0</v>
      </c>
      <c r="AT146" s="84"/>
    </row>
    <row r="147" spans="1:46" ht="39" customHeight="1">
      <c r="A147" s="85">
        <v>14</v>
      </c>
      <c r="B147" s="179" t="s">
        <v>49</v>
      </c>
      <c r="C147" s="81" t="s">
        <v>176</v>
      </c>
      <c r="D147" s="85" t="s">
        <v>18</v>
      </c>
      <c r="E147" s="86" t="s">
        <v>24</v>
      </c>
      <c r="F147" s="81" t="s">
        <v>50</v>
      </c>
      <c r="G147" s="79"/>
      <c r="H147" s="79" t="s">
        <v>9</v>
      </c>
      <c r="I147" s="79" t="s">
        <v>9</v>
      </c>
      <c r="J147" s="79"/>
      <c r="K147" s="79" t="s">
        <v>9</v>
      </c>
      <c r="L147" s="79"/>
      <c r="M147" s="79" t="s">
        <v>13</v>
      </c>
      <c r="N147" s="79" t="s">
        <v>9</v>
      </c>
      <c r="O147" s="79" t="s">
        <v>9</v>
      </c>
      <c r="P147" s="79" t="s">
        <v>9</v>
      </c>
      <c r="Q147" s="79" t="s">
        <v>9</v>
      </c>
      <c r="R147" s="79" t="s">
        <v>9</v>
      </c>
      <c r="S147" s="79"/>
      <c r="T147" s="79" t="s">
        <v>9</v>
      </c>
      <c r="U147" s="79" t="s">
        <v>9</v>
      </c>
      <c r="V147" s="79" t="s">
        <v>9</v>
      </c>
      <c r="W147" s="79" t="s">
        <v>9</v>
      </c>
      <c r="X147" s="79" t="s">
        <v>9</v>
      </c>
      <c r="Y147" s="79" t="s">
        <v>9</v>
      </c>
      <c r="Z147" s="79"/>
      <c r="AA147" s="79" t="s">
        <v>9</v>
      </c>
      <c r="AB147" s="79" t="s">
        <v>9</v>
      </c>
      <c r="AC147" s="79" t="s">
        <v>9</v>
      </c>
      <c r="AD147" s="79" t="s">
        <v>9</v>
      </c>
      <c r="AE147" s="79" t="s">
        <v>9</v>
      </c>
      <c r="AF147" s="79" t="s">
        <v>9</v>
      </c>
      <c r="AG147" s="79"/>
      <c r="AH147" s="79" t="s">
        <v>9</v>
      </c>
      <c r="AI147" s="79" t="s">
        <v>9</v>
      </c>
      <c r="AJ147" s="79" t="s">
        <v>9</v>
      </c>
      <c r="AK147" s="79" t="s">
        <v>9</v>
      </c>
      <c r="AL147" s="85">
        <f t="shared" si="32"/>
        <v>24</v>
      </c>
      <c r="AM147" s="85">
        <f t="shared" si="33"/>
        <v>0</v>
      </c>
      <c r="AN147" s="85">
        <f t="shared" si="34"/>
        <v>0</v>
      </c>
      <c r="AO147" s="85">
        <f t="shared" si="35"/>
        <v>0</v>
      </c>
      <c r="AP147" s="85">
        <f t="shared" si="36"/>
        <v>0</v>
      </c>
      <c r="AQ147" s="85">
        <f t="shared" si="37"/>
        <v>1</v>
      </c>
      <c r="AR147" s="85">
        <f t="shared" si="38"/>
        <v>0</v>
      </c>
      <c r="AS147" s="87">
        <f t="shared" si="39"/>
        <v>0</v>
      </c>
      <c r="AT147" s="84"/>
    </row>
    <row r="148" spans="1:46" ht="39" customHeight="1">
      <c r="A148" s="79">
        <v>15</v>
      </c>
      <c r="B148" s="179" t="s">
        <v>47</v>
      </c>
      <c r="C148" s="81" t="s">
        <v>48</v>
      </c>
      <c r="D148" s="85" t="s">
        <v>18</v>
      </c>
      <c r="E148" s="86" t="s">
        <v>24</v>
      </c>
      <c r="F148" s="81" t="s">
        <v>182</v>
      </c>
      <c r="G148" s="79"/>
      <c r="H148" s="79" t="s">
        <v>9</v>
      </c>
      <c r="I148" s="79" t="s">
        <v>9</v>
      </c>
      <c r="J148" s="79"/>
      <c r="K148" s="79" t="s">
        <v>9</v>
      </c>
      <c r="L148" s="79"/>
      <c r="M148" s="79" t="s">
        <v>13</v>
      </c>
      <c r="N148" s="79" t="s">
        <v>9</v>
      </c>
      <c r="O148" s="79" t="s">
        <v>9</v>
      </c>
      <c r="P148" s="79" t="s">
        <v>9</v>
      </c>
      <c r="Q148" s="79" t="s">
        <v>9</v>
      </c>
      <c r="R148" s="79" t="s">
        <v>9</v>
      </c>
      <c r="S148" s="79"/>
      <c r="T148" s="79" t="s">
        <v>9</v>
      </c>
      <c r="U148" s="79" t="s">
        <v>9</v>
      </c>
      <c r="V148" s="79" t="s">
        <v>9</v>
      </c>
      <c r="W148" s="79" t="s">
        <v>9</v>
      </c>
      <c r="X148" s="79" t="s">
        <v>9</v>
      </c>
      <c r="Y148" s="79" t="s">
        <v>9</v>
      </c>
      <c r="Z148" s="79"/>
      <c r="AA148" s="79" t="s">
        <v>11</v>
      </c>
      <c r="AB148" s="79" t="s">
        <v>9</v>
      </c>
      <c r="AC148" s="79" t="s">
        <v>9</v>
      </c>
      <c r="AD148" s="79" t="s">
        <v>9</v>
      </c>
      <c r="AE148" s="79" t="s">
        <v>9</v>
      </c>
      <c r="AF148" s="79"/>
      <c r="AG148" s="79"/>
      <c r="AH148" s="79" t="s">
        <v>9</v>
      </c>
      <c r="AI148" s="79" t="s">
        <v>9</v>
      </c>
      <c r="AJ148" s="79" t="s">
        <v>9</v>
      </c>
      <c r="AK148" s="79" t="s">
        <v>9</v>
      </c>
      <c r="AL148" s="85">
        <f t="shared" si="32"/>
        <v>22</v>
      </c>
      <c r="AM148" s="85">
        <f t="shared" si="33"/>
        <v>0</v>
      </c>
      <c r="AN148" s="85">
        <f t="shared" si="34"/>
        <v>1</v>
      </c>
      <c r="AO148" s="85">
        <f t="shared" si="35"/>
        <v>0</v>
      </c>
      <c r="AP148" s="85">
        <f t="shared" si="36"/>
        <v>0</v>
      </c>
      <c r="AQ148" s="85">
        <f t="shared" si="37"/>
        <v>1</v>
      </c>
      <c r="AR148" s="85">
        <f t="shared" si="38"/>
        <v>0</v>
      </c>
      <c r="AS148" s="87">
        <f t="shared" si="39"/>
        <v>0</v>
      </c>
      <c r="AT148" s="84"/>
    </row>
    <row r="149" spans="1:46" ht="39" customHeight="1">
      <c r="A149" s="85">
        <v>16</v>
      </c>
      <c r="B149" s="179" t="s">
        <v>169</v>
      </c>
      <c r="C149" s="81" t="s">
        <v>51</v>
      </c>
      <c r="D149" s="85" t="s">
        <v>18</v>
      </c>
      <c r="E149" s="86" t="s">
        <v>24</v>
      </c>
      <c r="F149" s="81" t="s">
        <v>50</v>
      </c>
      <c r="G149" s="79"/>
      <c r="H149" s="79" t="s">
        <v>11</v>
      </c>
      <c r="I149" s="79" t="s">
        <v>9</v>
      </c>
      <c r="J149" s="79"/>
      <c r="K149" s="79" t="s">
        <v>11</v>
      </c>
      <c r="L149" s="79"/>
      <c r="M149" s="79" t="s">
        <v>11</v>
      </c>
      <c r="N149" s="79" t="s">
        <v>9</v>
      </c>
      <c r="O149" s="79" t="s">
        <v>9</v>
      </c>
      <c r="P149" s="79" t="s">
        <v>9</v>
      </c>
      <c r="Q149" s="79" t="s">
        <v>9</v>
      </c>
      <c r="R149" s="79" t="s">
        <v>9</v>
      </c>
      <c r="S149" s="79"/>
      <c r="T149" s="79" t="s">
        <v>9</v>
      </c>
      <c r="U149" s="79" t="s">
        <v>9</v>
      </c>
      <c r="V149" s="79" t="s">
        <v>9</v>
      </c>
      <c r="W149" s="79" t="s">
        <v>9</v>
      </c>
      <c r="X149" s="79" t="s">
        <v>9</v>
      </c>
      <c r="Y149" s="79" t="s">
        <v>9</v>
      </c>
      <c r="Z149" s="79"/>
      <c r="AA149" s="79" t="s">
        <v>9</v>
      </c>
      <c r="AB149" s="79"/>
      <c r="AC149" s="79" t="s">
        <v>9</v>
      </c>
      <c r="AD149" s="79" t="s">
        <v>9</v>
      </c>
      <c r="AE149" s="79" t="s">
        <v>9</v>
      </c>
      <c r="AF149" s="79" t="s">
        <v>9</v>
      </c>
      <c r="AG149" s="79"/>
      <c r="AH149" s="79" t="s">
        <v>9</v>
      </c>
      <c r="AI149" s="79" t="s">
        <v>9</v>
      </c>
      <c r="AJ149" s="79" t="s">
        <v>9</v>
      </c>
      <c r="AK149" s="79" t="s">
        <v>9</v>
      </c>
      <c r="AL149" s="85">
        <f t="shared" si="32"/>
        <v>21</v>
      </c>
      <c r="AM149" s="85">
        <f t="shared" si="33"/>
        <v>0</v>
      </c>
      <c r="AN149" s="85">
        <f t="shared" si="34"/>
        <v>3</v>
      </c>
      <c r="AO149" s="85">
        <f t="shared" si="35"/>
        <v>0</v>
      </c>
      <c r="AP149" s="85">
        <f t="shared" si="36"/>
        <v>0</v>
      </c>
      <c r="AQ149" s="85">
        <f t="shared" si="37"/>
        <v>0</v>
      </c>
      <c r="AR149" s="85">
        <f t="shared" si="38"/>
        <v>0</v>
      </c>
      <c r="AS149" s="87">
        <f t="shared" si="39"/>
        <v>0</v>
      </c>
      <c r="AT149" s="84"/>
    </row>
    <row r="150" spans="1:46" ht="39" customHeight="1">
      <c r="A150" s="79">
        <v>17</v>
      </c>
      <c r="B150" s="179" t="s">
        <v>92</v>
      </c>
      <c r="C150" s="81" t="s">
        <v>59</v>
      </c>
      <c r="D150" s="85" t="s">
        <v>36</v>
      </c>
      <c r="E150" s="86" t="s">
        <v>24</v>
      </c>
      <c r="F150" s="81" t="s">
        <v>183</v>
      </c>
      <c r="G150" s="79"/>
      <c r="H150" s="79" t="s">
        <v>9</v>
      </c>
      <c r="I150" s="79" t="s">
        <v>9</v>
      </c>
      <c r="J150" s="79"/>
      <c r="K150" s="79" t="s">
        <v>9</v>
      </c>
      <c r="L150" s="79"/>
      <c r="M150" s="79"/>
      <c r="N150" s="79" t="s">
        <v>11</v>
      </c>
      <c r="O150" s="79" t="s">
        <v>11</v>
      </c>
      <c r="P150" s="79" t="s">
        <v>9</v>
      </c>
      <c r="Q150" s="79" t="s">
        <v>9</v>
      </c>
      <c r="R150" s="79" t="s">
        <v>9</v>
      </c>
      <c r="S150" s="79"/>
      <c r="T150" s="79" t="s">
        <v>9</v>
      </c>
      <c r="U150" s="79" t="s">
        <v>9</v>
      </c>
      <c r="V150" s="79" t="s">
        <v>9</v>
      </c>
      <c r="W150" s="79" t="s">
        <v>9</v>
      </c>
      <c r="X150" s="79" t="s">
        <v>9</v>
      </c>
      <c r="Y150" s="79" t="s">
        <v>9</v>
      </c>
      <c r="Z150" s="79"/>
      <c r="AA150" s="79" t="s">
        <v>11</v>
      </c>
      <c r="AB150" s="79" t="s">
        <v>9</v>
      </c>
      <c r="AC150" s="79" t="s">
        <v>11</v>
      </c>
      <c r="AD150" s="79" t="s">
        <v>13</v>
      </c>
      <c r="AE150" s="79" t="s">
        <v>9</v>
      </c>
      <c r="AF150" s="79" t="s">
        <v>9</v>
      </c>
      <c r="AG150" s="79"/>
      <c r="AH150" s="79" t="s">
        <v>9</v>
      </c>
      <c r="AI150" s="79" t="s">
        <v>9</v>
      </c>
      <c r="AJ150" s="79" t="s">
        <v>9</v>
      </c>
      <c r="AK150" s="79" t="s">
        <v>9</v>
      </c>
      <c r="AL150" s="85">
        <f t="shared" si="32"/>
        <v>19</v>
      </c>
      <c r="AM150" s="85">
        <f t="shared" si="33"/>
        <v>0</v>
      </c>
      <c r="AN150" s="85">
        <f t="shared" si="34"/>
        <v>4</v>
      </c>
      <c r="AO150" s="85">
        <f t="shared" si="35"/>
        <v>0</v>
      </c>
      <c r="AP150" s="85">
        <f t="shared" si="36"/>
        <v>0</v>
      </c>
      <c r="AQ150" s="85">
        <f t="shared" si="37"/>
        <v>1</v>
      </c>
      <c r="AR150" s="85">
        <f t="shared" si="38"/>
        <v>0</v>
      </c>
      <c r="AS150" s="87">
        <f t="shared" si="39"/>
        <v>0</v>
      </c>
      <c r="AT150" s="84"/>
    </row>
    <row r="151" spans="1:46" ht="39" customHeight="1">
      <c r="A151" s="85">
        <v>18</v>
      </c>
      <c r="B151" s="179" t="s">
        <v>168</v>
      </c>
      <c r="C151" s="81" t="s">
        <v>58</v>
      </c>
      <c r="D151" s="85" t="s">
        <v>36</v>
      </c>
      <c r="E151" s="86" t="s">
        <v>24</v>
      </c>
      <c r="F151" s="88" t="s">
        <v>99</v>
      </c>
      <c r="G151" s="79"/>
      <c r="H151" s="79" t="s">
        <v>9</v>
      </c>
      <c r="I151" s="79" t="s">
        <v>11</v>
      </c>
      <c r="J151" s="79"/>
      <c r="K151" s="79" t="s">
        <v>9</v>
      </c>
      <c r="L151" s="79"/>
      <c r="M151" s="79" t="s">
        <v>11</v>
      </c>
      <c r="N151" s="79" t="s">
        <v>9</v>
      </c>
      <c r="O151" s="79" t="s">
        <v>9</v>
      </c>
      <c r="P151" s="79" t="s">
        <v>9</v>
      </c>
      <c r="Q151" s="79" t="s">
        <v>9</v>
      </c>
      <c r="R151" s="79" t="s">
        <v>9</v>
      </c>
      <c r="S151" s="79"/>
      <c r="T151" s="79" t="s">
        <v>9</v>
      </c>
      <c r="U151" s="79" t="s">
        <v>9</v>
      </c>
      <c r="V151" s="79" t="s">
        <v>9</v>
      </c>
      <c r="W151" s="79" t="s">
        <v>11</v>
      </c>
      <c r="X151" s="79"/>
      <c r="Y151" s="79" t="s">
        <v>9</v>
      </c>
      <c r="Z151" s="79"/>
      <c r="AA151" s="79" t="s">
        <v>9</v>
      </c>
      <c r="AB151" s="79" t="s">
        <v>9</v>
      </c>
      <c r="AC151" s="79" t="s">
        <v>9</v>
      </c>
      <c r="AD151" s="79" t="s">
        <v>9</v>
      </c>
      <c r="AE151" s="79" t="s">
        <v>9</v>
      </c>
      <c r="AF151" s="79" t="s">
        <v>9</v>
      </c>
      <c r="AG151" s="79"/>
      <c r="AH151" s="79" t="s">
        <v>9</v>
      </c>
      <c r="AI151" s="79" t="s">
        <v>9</v>
      </c>
      <c r="AJ151" s="79" t="s">
        <v>9</v>
      </c>
      <c r="AK151" s="79" t="s">
        <v>9</v>
      </c>
      <c r="AL151" s="85">
        <f t="shared" si="32"/>
        <v>21</v>
      </c>
      <c r="AM151" s="85">
        <f t="shared" si="33"/>
        <v>0</v>
      </c>
      <c r="AN151" s="85">
        <f t="shared" si="34"/>
        <v>3</v>
      </c>
      <c r="AO151" s="85">
        <f t="shared" si="35"/>
        <v>0</v>
      </c>
      <c r="AP151" s="85">
        <f t="shared" si="36"/>
        <v>0</v>
      </c>
      <c r="AQ151" s="85">
        <f t="shared" si="37"/>
        <v>0</v>
      </c>
      <c r="AR151" s="85">
        <f t="shared" si="38"/>
        <v>0</v>
      </c>
      <c r="AS151" s="87">
        <f t="shared" si="39"/>
        <v>0</v>
      </c>
      <c r="AT151" s="84"/>
    </row>
    <row r="152" spans="1:46" ht="39" customHeight="1">
      <c r="A152" s="79">
        <v>19</v>
      </c>
      <c r="B152" s="179" t="s">
        <v>55</v>
      </c>
      <c r="C152" s="81" t="s">
        <v>56</v>
      </c>
      <c r="D152" s="85" t="s">
        <v>36</v>
      </c>
      <c r="E152" s="86" t="s">
        <v>24</v>
      </c>
      <c r="F152" s="81" t="s">
        <v>57</v>
      </c>
      <c r="G152" s="89"/>
      <c r="H152" s="79" t="s">
        <v>9</v>
      </c>
      <c r="I152" s="79" t="s">
        <v>9</v>
      </c>
      <c r="J152" s="79"/>
      <c r="K152" s="79" t="s">
        <v>9</v>
      </c>
      <c r="L152" s="79"/>
      <c r="M152" s="79" t="s">
        <v>9</v>
      </c>
      <c r="N152" s="79" t="s">
        <v>9</v>
      </c>
      <c r="O152" s="79" t="s">
        <v>9</v>
      </c>
      <c r="P152" s="79" t="s">
        <v>9</v>
      </c>
      <c r="Q152" s="79" t="s">
        <v>9</v>
      </c>
      <c r="R152" s="79" t="s">
        <v>9</v>
      </c>
      <c r="S152" s="79"/>
      <c r="T152" s="79" t="s">
        <v>9</v>
      </c>
      <c r="U152" s="79"/>
      <c r="V152" s="79" t="s">
        <v>9</v>
      </c>
      <c r="W152" s="79" t="s">
        <v>9</v>
      </c>
      <c r="X152" s="79" t="s">
        <v>9</v>
      </c>
      <c r="Y152" s="79" t="s">
        <v>9</v>
      </c>
      <c r="Z152" s="79"/>
      <c r="AA152" s="79" t="s">
        <v>9</v>
      </c>
      <c r="AB152" s="79" t="s">
        <v>9</v>
      </c>
      <c r="AC152" s="79" t="s">
        <v>9</v>
      </c>
      <c r="AD152" s="79" t="s">
        <v>9</v>
      </c>
      <c r="AE152" s="79" t="s">
        <v>9</v>
      </c>
      <c r="AF152" s="79" t="s">
        <v>9</v>
      </c>
      <c r="AG152" s="79"/>
      <c r="AH152" s="79" t="s">
        <v>9</v>
      </c>
      <c r="AI152" s="79" t="s">
        <v>9</v>
      </c>
      <c r="AJ152" s="79" t="s">
        <v>9</v>
      </c>
      <c r="AK152" s="79" t="s">
        <v>9</v>
      </c>
      <c r="AL152" s="85">
        <f t="shared" si="32"/>
        <v>24</v>
      </c>
      <c r="AM152" s="85">
        <f t="shared" si="33"/>
        <v>0</v>
      </c>
      <c r="AN152" s="85">
        <f t="shared" si="34"/>
        <v>0</v>
      </c>
      <c r="AO152" s="85">
        <f t="shared" si="35"/>
        <v>0</v>
      </c>
      <c r="AP152" s="85">
        <f t="shared" si="36"/>
        <v>0</v>
      </c>
      <c r="AQ152" s="85">
        <f t="shared" si="37"/>
        <v>0</v>
      </c>
      <c r="AR152" s="85">
        <f t="shared" si="38"/>
        <v>0</v>
      </c>
      <c r="AS152" s="87">
        <f t="shared" si="39"/>
        <v>0</v>
      </c>
      <c r="AT152" s="84"/>
    </row>
    <row r="153" spans="1:46" ht="39" customHeight="1">
      <c r="A153" s="85">
        <v>20</v>
      </c>
      <c r="B153" s="179" t="s">
        <v>98</v>
      </c>
      <c r="C153" s="81" t="s">
        <v>65</v>
      </c>
      <c r="D153" s="85" t="s">
        <v>36</v>
      </c>
      <c r="E153" s="86" t="s">
        <v>24</v>
      </c>
      <c r="F153" s="81" t="s">
        <v>161</v>
      </c>
      <c r="G153" s="79"/>
      <c r="H153" s="79" t="s">
        <v>9</v>
      </c>
      <c r="I153" s="79" t="s">
        <v>9</v>
      </c>
      <c r="J153" s="79"/>
      <c r="K153" s="79" t="s">
        <v>9</v>
      </c>
      <c r="L153" s="79"/>
      <c r="M153" s="79" t="s">
        <v>9</v>
      </c>
      <c r="N153" s="79" t="s">
        <v>9</v>
      </c>
      <c r="O153" s="79" t="s">
        <v>9</v>
      </c>
      <c r="P153" s="79" t="s">
        <v>9</v>
      </c>
      <c r="Q153" s="79" t="s">
        <v>9</v>
      </c>
      <c r="R153" s="79" t="s">
        <v>9</v>
      </c>
      <c r="S153" s="79"/>
      <c r="T153" s="79" t="s">
        <v>9</v>
      </c>
      <c r="U153" s="79" t="s">
        <v>9</v>
      </c>
      <c r="V153" s="79" t="s">
        <v>9</v>
      </c>
      <c r="W153" s="79" t="s">
        <v>9</v>
      </c>
      <c r="X153" s="79" t="s">
        <v>9</v>
      </c>
      <c r="Y153" s="79" t="s">
        <v>9</v>
      </c>
      <c r="Z153" s="79"/>
      <c r="AA153" s="79" t="s">
        <v>9</v>
      </c>
      <c r="AB153" s="79" t="s">
        <v>9</v>
      </c>
      <c r="AC153" s="79" t="s">
        <v>9</v>
      </c>
      <c r="AD153" s="79" t="s">
        <v>9</v>
      </c>
      <c r="AE153" s="79" t="s">
        <v>9</v>
      </c>
      <c r="AF153" s="79" t="s">
        <v>9</v>
      </c>
      <c r="AG153" s="79"/>
      <c r="AH153" s="79" t="s">
        <v>9</v>
      </c>
      <c r="AI153" s="79" t="s">
        <v>9</v>
      </c>
      <c r="AJ153" s="79" t="s">
        <v>9</v>
      </c>
      <c r="AK153" s="79" t="s">
        <v>9</v>
      </c>
      <c r="AL153" s="85">
        <f t="shared" si="32"/>
        <v>25</v>
      </c>
      <c r="AM153" s="85">
        <f t="shared" si="33"/>
        <v>0</v>
      </c>
      <c r="AN153" s="85">
        <f t="shared" si="34"/>
        <v>0</v>
      </c>
      <c r="AO153" s="85">
        <f t="shared" si="35"/>
        <v>0</v>
      </c>
      <c r="AP153" s="85">
        <f t="shared" si="36"/>
        <v>0</v>
      </c>
      <c r="AQ153" s="85">
        <f t="shared" si="37"/>
        <v>0</v>
      </c>
      <c r="AR153" s="85">
        <f t="shared" si="38"/>
        <v>0</v>
      </c>
      <c r="AS153" s="87">
        <f t="shared" si="39"/>
        <v>0</v>
      </c>
      <c r="AT153" s="84"/>
    </row>
    <row r="154" spans="1:46" ht="39" customHeight="1">
      <c r="A154" s="79">
        <v>21</v>
      </c>
      <c r="B154" s="179" t="s">
        <v>52</v>
      </c>
      <c r="C154" s="81" t="s">
        <v>53</v>
      </c>
      <c r="D154" s="85" t="s">
        <v>36</v>
      </c>
      <c r="E154" s="86" t="s">
        <v>24</v>
      </c>
      <c r="F154" s="81" t="s">
        <v>38</v>
      </c>
      <c r="G154" s="79"/>
      <c r="H154" s="79" t="s">
        <v>9</v>
      </c>
      <c r="I154" s="79" t="s">
        <v>9</v>
      </c>
      <c r="J154" s="79"/>
      <c r="K154" s="79" t="s">
        <v>9</v>
      </c>
      <c r="L154" s="79"/>
      <c r="M154" s="79" t="s">
        <v>9</v>
      </c>
      <c r="N154" s="79" t="s">
        <v>11</v>
      </c>
      <c r="O154" s="79" t="s">
        <v>9</v>
      </c>
      <c r="P154" s="79" t="s">
        <v>9</v>
      </c>
      <c r="Q154" s="79" t="s">
        <v>9</v>
      </c>
      <c r="R154" s="79" t="s">
        <v>9</v>
      </c>
      <c r="S154" s="79"/>
      <c r="T154" s="79" t="s">
        <v>9</v>
      </c>
      <c r="U154" s="79" t="s">
        <v>9</v>
      </c>
      <c r="V154" s="79" t="s">
        <v>9</v>
      </c>
      <c r="W154" s="79" t="s">
        <v>13</v>
      </c>
      <c r="X154" s="79" t="s">
        <v>9</v>
      </c>
      <c r="Y154" s="79" t="s">
        <v>9</v>
      </c>
      <c r="Z154" s="79"/>
      <c r="AA154" s="79" t="s">
        <v>9</v>
      </c>
      <c r="AB154" s="79" t="s">
        <v>9</v>
      </c>
      <c r="AC154" s="79" t="s">
        <v>9</v>
      </c>
      <c r="AD154" s="79" t="s">
        <v>9</v>
      </c>
      <c r="AE154" s="79" t="s">
        <v>9</v>
      </c>
      <c r="AF154" s="79" t="s">
        <v>9</v>
      </c>
      <c r="AG154" s="79"/>
      <c r="AH154" s="79" t="s">
        <v>9</v>
      </c>
      <c r="AI154" s="79" t="s">
        <v>9</v>
      </c>
      <c r="AJ154" s="79" t="s">
        <v>9</v>
      </c>
      <c r="AK154" s="79" t="s">
        <v>9</v>
      </c>
      <c r="AL154" s="85">
        <f t="shared" si="32"/>
        <v>23</v>
      </c>
      <c r="AM154" s="85">
        <f t="shared" si="33"/>
        <v>0</v>
      </c>
      <c r="AN154" s="85">
        <f t="shared" si="34"/>
        <v>1</v>
      </c>
      <c r="AO154" s="85">
        <f t="shared" si="35"/>
        <v>0</v>
      </c>
      <c r="AP154" s="85">
        <f t="shared" si="36"/>
        <v>0</v>
      </c>
      <c r="AQ154" s="85">
        <f t="shared" si="37"/>
        <v>1</v>
      </c>
      <c r="AR154" s="85">
        <f t="shared" si="38"/>
        <v>0</v>
      </c>
      <c r="AS154" s="87">
        <f t="shared" si="39"/>
        <v>0</v>
      </c>
      <c r="AT154" s="84"/>
    </row>
    <row r="155" spans="1:46" ht="39" customHeight="1">
      <c r="A155" s="85">
        <v>22</v>
      </c>
      <c r="B155" s="179" t="s">
        <v>170</v>
      </c>
      <c r="C155" s="81" t="s">
        <v>60</v>
      </c>
      <c r="D155" s="85" t="s">
        <v>54</v>
      </c>
      <c r="E155" s="86" t="s">
        <v>24</v>
      </c>
      <c r="F155" s="81" t="s">
        <v>61</v>
      </c>
      <c r="G155" s="79"/>
      <c r="H155" s="79" t="s">
        <v>9</v>
      </c>
      <c r="I155" s="79" t="s">
        <v>11</v>
      </c>
      <c r="J155" s="79"/>
      <c r="K155" s="79" t="s">
        <v>11</v>
      </c>
      <c r="L155" s="79"/>
      <c r="M155" s="79" t="s">
        <v>13</v>
      </c>
      <c r="N155" s="79" t="s">
        <v>11</v>
      </c>
      <c r="O155" s="79" t="s">
        <v>9</v>
      </c>
      <c r="P155" s="79" t="s">
        <v>9</v>
      </c>
      <c r="Q155" s="79" t="s">
        <v>9</v>
      </c>
      <c r="R155" s="79" t="s">
        <v>9</v>
      </c>
      <c r="S155" s="79"/>
      <c r="T155" s="79" t="s">
        <v>9</v>
      </c>
      <c r="U155" s="79" t="s">
        <v>9</v>
      </c>
      <c r="V155" s="79" t="s">
        <v>9</v>
      </c>
      <c r="W155" s="79" t="s">
        <v>9</v>
      </c>
      <c r="X155" s="79" t="s">
        <v>9</v>
      </c>
      <c r="Y155" s="79" t="s">
        <v>9</v>
      </c>
      <c r="Z155" s="79"/>
      <c r="AA155" s="79" t="s">
        <v>9</v>
      </c>
      <c r="AB155" s="79" t="s">
        <v>9</v>
      </c>
      <c r="AC155" s="79" t="s">
        <v>9</v>
      </c>
      <c r="AD155" s="79" t="s">
        <v>9</v>
      </c>
      <c r="AE155" s="79" t="s">
        <v>9</v>
      </c>
      <c r="AF155" s="79" t="s">
        <v>9</v>
      </c>
      <c r="AG155" s="79"/>
      <c r="AH155" s="79" t="s">
        <v>9</v>
      </c>
      <c r="AI155" s="79" t="s">
        <v>9</v>
      </c>
      <c r="AJ155" s="79" t="s">
        <v>9</v>
      </c>
      <c r="AK155" s="79" t="s">
        <v>9</v>
      </c>
      <c r="AL155" s="85">
        <f t="shared" si="32"/>
        <v>21</v>
      </c>
      <c r="AM155" s="85">
        <f t="shared" si="33"/>
        <v>0</v>
      </c>
      <c r="AN155" s="85">
        <f t="shared" si="34"/>
        <v>3</v>
      </c>
      <c r="AO155" s="85">
        <f t="shared" si="35"/>
        <v>0</v>
      </c>
      <c r="AP155" s="85">
        <f t="shared" si="36"/>
        <v>0</v>
      </c>
      <c r="AQ155" s="85">
        <f t="shared" si="37"/>
        <v>1</v>
      </c>
      <c r="AR155" s="85">
        <f t="shared" si="38"/>
        <v>0</v>
      </c>
      <c r="AS155" s="87">
        <f t="shared" si="39"/>
        <v>0</v>
      </c>
      <c r="AT155" s="84"/>
    </row>
    <row r="156" spans="1:46" ht="39" customHeight="1">
      <c r="A156" s="79">
        <v>23</v>
      </c>
      <c r="B156" s="179" t="s">
        <v>166</v>
      </c>
      <c r="C156" s="81" t="s">
        <v>62</v>
      </c>
      <c r="D156" s="85" t="s">
        <v>54</v>
      </c>
      <c r="E156" s="86" t="s">
        <v>24</v>
      </c>
      <c r="F156" s="81" t="s">
        <v>61</v>
      </c>
      <c r="G156" s="79"/>
      <c r="H156" s="79" t="s">
        <v>9</v>
      </c>
      <c r="I156" s="79" t="s">
        <v>11</v>
      </c>
      <c r="J156" s="79"/>
      <c r="K156" s="79" t="s">
        <v>11</v>
      </c>
      <c r="L156" s="79"/>
      <c r="M156" s="79"/>
      <c r="N156" s="79"/>
      <c r="O156" s="79" t="s">
        <v>9</v>
      </c>
      <c r="P156" s="79" t="s">
        <v>9</v>
      </c>
      <c r="Q156" s="79" t="s">
        <v>9</v>
      </c>
      <c r="R156" s="79" t="s">
        <v>9</v>
      </c>
      <c r="S156" s="79"/>
      <c r="T156" s="79" t="s">
        <v>9</v>
      </c>
      <c r="U156" s="79" t="s">
        <v>9</v>
      </c>
      <c r="V156" s="79" t="s">
        <v>9</v>
      </c>
      <c r="W156" s="79" t="s">
        <v>11</v>
      </c>
      <c r="X156" s="79" t="s">
        <v>9</v>
      </c>
      <c r="Y156" s="79" t="s">
        <v>9</v>
      </c>
      <c r="Z156" s="79"/>
      <c r="AA156" s="79" t="s">
        <v>11</v>
      </c>
      <c r="AB156" s="79" t="s">
        <v>11</v>
      </c>
      <c r="AC156" s="79" t="s">
        <v>11</v>
      </c>
      <c r="AD156" s="79" t="s">
        <v>11</v>
      </c>
      <c r="AE156" s="79"/>
      <c r="AF156" s="79"/>
      <c r="AG156" s="79"/>
      <c r="AH156" s="79"/>
      <c r="AI156" s="79"/>
      <c r="AJ156" s="79"/>
      <c r="AK156" s="79"/>
      <c r="AL156" s="85">
        <f t="shared" si="32"/>
        <v>10</v>
      </c>
      <c r="AM156" s="85">
        <f t="shared" si="33"/>
        <v>0</v>
      </c>
      <c r="AN156" s="85">
        <f t="shared" si="34"/>
        <v>7</v>
      </c>
      <c r="AO156" s="85">
        <f t="shared" si="35"/>
        <v>0</v>
      </c>
      <c r="AP156" s="85">
        <f t="shared" si="36"/>
        <v>0</v>
      </c>
      <c r="AQ156" s="85">
        <f t="shared" si="37"/>
        <v>0</v>
      </c>
      <c r="AR156" s="85">
        <f t="shared" si="38"/>
        <v>0</v>
      </c>
      <c r="AS156" s="87">
        <f t="shared" si="39"/>
        <v>0</v>
      </c>
      <c r="AT156" s="84"/>
    </row>
    <row r="157" spans="1:46" ht="39" customHeight="1">
      <c r="A157" s="85">
        <v>24</v>
      </c>
      <c r="B157" s="179" t="s">
        <v>171</v>
      </c>
      <c r="C157" s="81" t="s">
        <v>63</v>
      </c>
      <c r="D157" s="85" t="s">
        <v>54</v>
      </c>
      <c r="E157" s="86" t="s">
        <v>24</v>
      </c>
      <c r="F157" s="81" t="s">
        <v>61</v>
      </c>
      <c r="G157" s="79"/>
      <c r="H157" s="79" t="s">
        <v>9</v>
      </c>
      <c r="I157" s="79" t="s">
        <v>9</v>
      </c>
      <c r="J157" s="79"/>
      <c r="K157" s="79" t="s">
        <v>9</v>
      </c>
      <c r="L157" s="79"/>
      <c r="M157" s="79" t="s">
        <v>9</v>
      </c>
      <c r="N157" s="79" t="s">
        <v>9</v>
      </c>
      <c r="O157" s="79" t="s">
        <v>9</v>
      </c>
      <c r="P157" s="79" t="s">
        <v>9</v>
      </c>
      <c r="Q157" s="79" t="s">
        <v>9</v>
      </c>
      <c r="R157" s="79" t="s">
        <v>9</v>
      </c>
      <c r="S157" s="79"/>
      <c r="T157" s="79" t="s">
        <v>9</v>
      </c>
      <c r="U157" s="79" t="s">
        <v>9</v>
      </c>
      <c r="V157" s="79" t="s">
        <v>9</v>
      </c>
      <c r="W157" s="79" t="s">
        <v>9</v>
      </c>
      <c r="X157" s="79" t="s">
        <v>9</v>
      </c>
      <c r="Y157" s="79" t="s">
        <v>9</v>
      </c>
      <c r="Z157" s="79"/>
      <c r="AA157" s="79" t="s">
        <v>9</v>
      </c>
      <c r="AB157" s="79" t="s">
        <v>9</v>
      </c>
      <c r="AC157" s="79" t="s">
        <v>9</v>
      </c>
      <c r="AD157" s="79" t="s">
        <v>9</v>
      </c>
      <c r="AE157" s="79" t="s">
        <v>9</v>
      </c>
      <c r="AF157" s="79" t="s">
        <v>9</v>
      </c>
      <c r="AG157" s="79"/>
      <c r="AH157" s="79" t="s">
        <v>9</v>
      </c>
      <c r="AI157" s="79" t="s">
        <v>9</v>
      </c>
      <c r="AJ157" s="79" t="s">
        <v>9</v>
      </c>
      <c r="AK157" s="79" t="s">
        <v>9</v>
      </c>
      <c r="AL157" s="85">
        <f t="shared" si="32"/>
        <v>25</v>
      </c>
      <c r="AM157" s="85">
        <f t="shared" si="33"/>
        <v>0</v>
      </c>
      <c r="AN157" s="85">
        <f t="shared" si="34"/>
        <v>0</v>
      </c>
      <c r="AO157" s="85">
        <f t="shared" si="35"/>
        <v>0</v>
      </c>
      <c r="AP157" s="85">
        <f t="shared" si="36"/>
        <v>0</v>
      </c>
      <c r="AQ157" s="85">
        <f t="shared" si="37"/>
        <v>0</v>
      </c>
      <c r="AR157" s="85">
        <f t="shared" si="38"/>
        <v>0</v>
      </c>
      <c r="AS157" s="87">
        <f t="shared" si="39"/>
        <v>0</v>
      </c>
      <c r="AT157" s="84"/>
    </row>
    <row r="158" spans="1:46" ht="39" customHeight="1">
      <c r="A158" s="79">
        <v>25</v>
      </c>
      <c r="B158" s="179" t="s">
        <v>172</v>
      </c>
      <c r="C158" s="81" t="s">
        <v>64</v>
      </c>
      <c r="D158" s="85" t="s">
        <v>54</v>
      </c>
      <c r="E158" s="86" t="s">
        <v>24</v>
      </c>
      <c r="F158" s="90" t="s">
        <v>57</v>
      </c>
      <c r="G158" s="79"/>
      <c r="H158" s="79" t="s">
        <v>9</v>
      </c>
      <c r="I158" s="79" t="s">
        <v>9</v>
      </c>
      <c r="J158" s="79"/>
      <c r="K158" s="79"/>
      <c r="L158" s="79"/>
      <c r="M158" s="79" t="s">
        <v>9</v>
      </c>
      <c r="N158" s="79" t="s">
        <v>9</v>
      </c>
      <c r="O158" s="79" t="s">
        <v>9</v>
      </c>
      <c r="P158" s="79" t="s">
        <v>9</v>
      </c>
      <c r="Q158" s="79" t="s">
        <v>9</v>
      </c>
      <c r="R158" s="79" t="s">
        <v>15</v>
      </c>
      <c r="S158" s="79"/>
      <c r="T158" s="79"/>
      <c r="U158" s="79"/>
      <c r="V158" s="79" t="s">
        <v>9</v>
      </c>
      <c r="W158" s="79" t="s">
        <v>9</v>
      </c>
      <c r="X158" s="79" t="s">
        <v>9</v>
      </c>
      <c r="Y158" s="79" t="s">
        <v>9</v>
      </c>
      <c r="Z158" s="79"/>
      <c r="AA158" s="79" t="s">
        <v>9</v>
      </c>
      <c r="AB158" s="79" t="s">
        <v>9</v>
      </c>
      <c r="AC158" s="79" t="s">
        <v>9</v>
      </c>
      <c r="AD158" s="79" t="s">
        <v>9</v>
      </c>
      <c r="AE158" s="79" t="s">
        <v>9</v>
      </c>
      <c r="AF158" s="79" t="s">
        <v>9</v>
      </c>
      <c r="AG158" s="79"/>
      <c r="AH158" s="79" t="s">
        <v>9</v>
      </c>
      <c r="AI158" s="79" t="s">
        <v>9</v>
      </c>
      <c r="AJ158" s="79" t="s">
        <v>9</v>
      </c>
      <c r="AK158" s="79" t="s">
        <v>9</v>
      </c>
      <c r="AL158" s="85">
        <f t="shared" si="32"/>
        <v>21</v>
      </c>
      <c r="AM158" s="85">
        <f t="shared" si="33"/>
        <v>0</v>
      </c>
      <c r="AN158" s="85">
        <f t="shared" si="34"/>
        <v>0</v>
      </c>
      <c r="AO158" s="85">
        <f t="shared" si="35"/>
        <v>0</v>
      </c>
      <c r="AP158" s="85">
        <f t="shared" si="36"/>
        <v>0</v>
      </c>
      <c r="AQ158" s="85">
        <f t="shared" si="37"/>
        <v>0</v>
      </c>
      <c r="AR158" s="85">
        <f t="shared" si="38"/>
        <v>1</v>
      </c>
      <c r="AS158" s="87">
        <f t="shared" si="39"/>
        <v>0</v>
      </c>
      <c r="AT158" s="84"/>
    </row>
    <row r="159" spans="1:46" ht="39" customHeight="1">
      <c r="A159" s="85">
        <v>26</v>
      </c>
      <c r="B159" s="179" t="s">
        <v>164</v>
      </c>
      <c r="C159" s="81" t="s">
        <v>66</v>
      </c>
      <c r="D159" s="85" t="s">
        <v>54</v>
      </c>
      <c r="E159" s="86" t="s">
        <v>24</v>
      </c>
      <c r="F159" s="81" t="s">
        <v>163</v>
      </c>
      <c r="G159" s="91"/>
      <c r="H159" s="79" t="s">
        <v>9</v>
      </c>
      <c r="I159" s="79" t="s">
        <v>9</v>
      </c>
      <c r="J159" s="79"/>
      <c r="K159" s="79" t="s">
        <v>9</v>
      </c>
      <c r="L159" s="79"/>
      <c r="M159" s="79" t="s">
        <v>9</v>
      </c>
      <c r="N159" s="79" t="s">
        <v>9</v>
      </c>
      <c r="O159" s="79" t="s">
        <v>9</v>
      </c>
      <c r="P159" s="79" t="s">
        <v>9</v>
      </c>
      <c r="Q159" s="79" t="s">
        <v>9</v>
      </c>
      <c r="R159" s="79" t="s">
        <v>9</v>
      </c>
      <c r="S159" s="79"/>
      <c r="T159" s="79" t="s">
        <v>9</v>
      </c>
      <c r="U159" s="79" t="s">
        <v>9</v>
      </c>
      <c r="V159" s="79" t="s">
        <v>9</v>
      </c>
      <c r="W159" s="79" t="s">
        <v>9</v>
      </c>
      <c r="X159" s="79" t="s">
        <v>9</v>
      </c>
      <c r="Y159" s="79" t="s">
        <v>9</v>
      </c>
      <c r="Z159" s="79"/>
      <c r="AA159" s="79" t="s">
        <v>9</v>
      </c>
      <c r="AB159" s="79" t="s">
        <v>9</v>
      </c>
      <c r="AC159" s="79" t="s">
        <v>9</v>
      </c>
      <c r="AD159" s="79" t="s">
        <v>9</v>
      </c>
      <c r="AE159" s="79" t="s">
        <v>9</v>
      </c>
      <c r="AF159" s="79" t="s">
        <v>9</v>
      </c>
      <c r="AG159" s="79"/>
      <c r="AH159" s="79" t="s">
        <v>9</v>
      </c>
      <c r="AI159" s="79" t="s">
        <v>9</v>
      </c>
      <c r="AJ159" s="79" t="s">
        <v>9</v>
      </c>
      <c r="AK159" s="79" t="s">
        <v>9</v>
      </c>
      <c r="AL159" s="85">
        <f t="shared" si="32"/>
        <v>25</v>
      </c>
      <c r="AM159" s="85">
        <f t="shared" si="33"/>
        <v>0</v>
      </c>
      <c r="AN159" s="85">
        <f t="shared" si="34"/>
        <v>0</v>
      </c>
      <c r="AO159" s="85">
        <f t="shared" si="35"/>
        <v>0</v>
      </c>
      <c r="AP159" s="85">
        <f t="shared" si="36"/>
        <v>0</v>
      </c>
      <c r="AQ159" s="85">
        <f t="shared" si="37"/>
        <v>0</v>
      </c>
      <c r="AR159" s="85">
        <f t="shared" si="38"/>
        <v>0</v>
      </c>
      <c r="AS159" s="87">
        <f t="shared" si="39"/>
        <v>0</v>
      </c>
      <c r="AT159" s="84"/>
    </row>
    <row r="160" spans="1:46" s="171" customFormat="1" ht="39" customHeight="1">
      <c r="A160" s="172">
        <v>27</v>
      </c>
      <c r="B160" s="180" t="s">
        <v>89</v>
      </c>
      <c r="C160" s="173" t="s">
        <v>177</v>
      </c>
      <c r="D160" s="172" t="s">
        <v>93</v>
      </c>
      <c r="E160" s="174" t="s">
        <v>24</v>
      </c>
      <c r="F160" s="173" t="s">
        <v>94</v>
      </c>
      <c r="G160" s="175"/>
      <c r="H160" s="175" t="s">
        <v>9</v>
      </c>
      <c r="I160" s="175" t="s">
        <v>9</v>
      </c>
      <c r="J160" s="175"/>
      <c r="K160" s="175" t="s">
        <v>9</v>
      </c>
      <c r="L160" s="175"/>
      <c r="M160" s="175" t="s">
        <v>11</v>
      </c>
      <c r="N160" s="175" t="s">
        <v>9</v>
      </c>
      <c r="O160" s="175" t="s">
        <v>9</v>
      </c>
      <c r="P160" s="175" t="s">
        <v>9</v>
      </c>
      <c r="Q160" s="175" t="s">
        <v>9</v>
      </c>
      <c r="R160" s="175" t="s">
        <v>9</v>
      </c>
      <c r="S160" s="175"/>
      <c r="T160" s="175" t="s">
        <v>9</v>
      </c>
      <c r="U160" s="175" t="s">
        <v>9</v>
      </c>
      <c r="V160" s="175" t="s">
        <v>9</v>
      </c>
      <c r="W160" s="175" t="s">
        <v>9</v>
      </c>
      <c r="X160" s="175" t="s">
        <v>9</v>
      </c>
      <c r="Y160" s="175" t="s">
        <v>9</v>
      </c>
      <c r="Z160" s="175"/>
      <c r="AA160" s="175" t="s">
        <v>9</v>
      </c>
      <c r="AB160" s="175" t="s">
        <v>11</v>
      </c>
      <c r="AC160" s="175" t="s">
        <v>9</v>
      </c>
      <c r="AD160" s="175" t="s">
        <v>9</v>
      </c>
      <c r="AE160" s="175" t="s">
        <v>9</v>
      </c>
      <c r="AF160" s="175" t="s">
        <v>9</v>
      </c>
      <c r="AG160" s="175"/>
      <c r="AH160" s="175"/>
      <c r="AI160" s="175" t="s">
        <v>9</v>
      </c>
      <c r="AJ160" s="175" t="s">
        <v>9</v>
      </c>
      <c r="AK160" s="175" t="s">
        <v>9</v>
      </c>
      <c r="AL160" s="172">
        <f t="shared" si="32"/>
        <v>22</v>
      </c>
      <c r="AM160" s="172">
        <f t="shared" si="33"/>
        <v>0</v>
      </c>
      <c r="AN160" s="172">
        <f t="shared" si="34"/>
        <v>2</v>
      </c>
      <c r="AO160" s="172">
        <f t="shared" si="35"/>
        <v>0</v>
      </c>
      <c r="AP160" s="172">
        <f t="shared" si="36"/>
        <v>0</v>
      </c>
      <c r="AQ160" s="172">
        <f t="shared" si="37"/>
        <v>0</v>
      </c>
      <c r="AR160" s="172">
        <f t="shared" si="38"/>
        <v>0</v>
      </c>
      <c r="AS160" s="176">
        <f t="shared" si="39"/>
        <v>0</v>
      </c>
      <c r="AT160" s="177"/>
    </row>
    <row r="161" spans="1:46" s="171" customFormat="1" ht="39" customHeight="1">
      <c r="A161" s="172">
        <v>28</v>
      </c>
      <c r="B161" s="180" t="s">
        <v>165</v>
      </c>
      <c r="C161" s="173" t="s">
        <v>72</v>
      </c>
      <c r="D161" s="172" t="s">
        <v>93</v>
      </c>
      <c r="E161" s="174" t="s">
        <v>73</v>
      </c>
      <c r="F161" s="181" t="s">
        <v>57</v>
      </c>
      <c r="G161" s="175"/>
      <c r="H161" s="175" t="s">
        <v>9</v>
      </c>
      <c r="I161" s="175" t="s">
        <v>11</v>
      </c>
      <c r="J161" s="175"/>
      <c r="K161" s="175" t="s">
        <v>11</v>
      </c>
      <c r="L161" s="175"/>
      <c r="M161" s="175" t="s">
        <v>13</v>
      </c>
      <c r="N161" s="175" t="s">
        <v>9</v>
      </c>
      <c r="O161" s="175" t="s">
        <v>9</v>
      </c>
      <c r="P161" s="175" t="s">
        <v>9</v>
      </c>
      <c r="Q161" s="175" t="s">
        <v>13</v>
      </c>
      <c r="R161" s="175" t="s">
        <v>9</v>
      </c>
      <c r="S161" s="175"/>
      <c r="T161" s="175" t="s">
        <v>9</v>
      </c>
      <c r="U161" s="175" t="s">
        <v>9</v>
      </c>
      <c r="V161" s="175" t="s">
        <v>9</v>
      </c>
      <c r="W161" s="175" t="s">
        <v>9</v>
      </c>
      <c r="X161" s="175" t="s">
        <v>9</v>
      </c>
      <c r="Y161" s="175" t="s">
        <v>9</v>
      </c>
      <c r="Z161" s="175"/>
      <c r="AA161" s="175" t="s">
        <v>9</v>
      </c>
      <c r="AB161" s="175" t="s">
        <v>13</v>
      </c>
      <c r="AC161" s="175" t="s">
        <v>9</v>
      </c>
      <c r="AD161" s="175" t="s">
        <v>9</v>
      </c>
      <c r="AE161" s="175" t="s">
        <v>9</v>
      </c>
      <c r="AF161" s="175" t="s">
        <v>11</v>
      </c>
      <c r="AG161" s="175"/>
      <c r="AH161" s="175" t="s">
        <v>9</v>
      </c>
      <c r="AI161" s="175" t="s">
        <v>9</v>
      </c>
      <c r="AJ161" s="175" t="s">
        <v>9</v>
      </c>
      <c r="AK161" s="175" t="s">
        <v>9</v>
      </c>
      <c r="AL161" s="172">
        <f t="shared" si="32"/>
        <v>19</v>
      </c>
      <c r="AM161" s="172">
        <f t="shared" si="33"/>
        <v>0</v>
      </c>
      <c r="AN161" s="172">
        <f t="shared" si="34"/>
        <v>3</v>
      </c>
      <c r="AO161" s="172">
        <f t="shared" si="35"/>
        <v>0</v>
      </c>
      <c r="AP161" s="172">
        <f t="shared" si="36"/>
        <v>0</v>
      </c>
      <c r="AQ161" s="172">
        <f t="shared" si="37"/>
        <v>3</v>
      </c>
      <c r="AR161" s="172">
        <f t="shared" si="38"/>
        <v>0</v>
      </c>
      <c r="AS161" s="176">
        <f t="shared" si="39"/>
        <v>0</v>
      </c>
      <c r="AT161" s="177"/>
    </row>
    <row r="162" spans="1:46" s="171" customFormat="1" ht="39" customHeight="1">
      <c r="A162" s="175">
        <v>29</v>
      </c>
      <c r="B162" s="180" t="s">
        <v>67</v>
      </c>
      <c r="C162" s="173" t="s">
        <v>68</v>
      </c>
      <c r="D162" s="172" t="s">
        <v>93</v>
      </c>
      <c r="E162" s="183" t="s">
        <v>24</v>
      </c>
      <c r="F162" s="181" t="s">
        <v>57</v>
      </c>
      <c r="G162" s="184"/>
      <c r="H162" s="175" t="s">
        <v>9</v>
      </c>
      <c r="I162" s="175" t="s">
        <v>9</v>
      </c>
      <c r="J162" s="175"/>
      <c r="K162" s="175" t="s">
        <v>9</v>
      </c>
      <c r="L162" s="175"/>
      <c r="M162" s="175" t="s">
        <v>9</v>
      </c>
      <c r="N162" s="175" t="s">
        <v>9</v>
      </c>
      <c r="O162" s="175" t="s">
        <v>9</v>
      </c>
      <c r="P162" s="175" t="s">
        <v>9</v>
      </c>
      <c r="Q162" s="175" t="s">
        <v>9</v>
      </c>
      <c r="R162" s="175" t="s">
        <v>9</v>
      </c>
      <c r="S162" s="175"/>
      <c r="T162" s="175" t="s">
        <v>9</v>
      </c>
      <c r="U162" s="175" t="s">
        <v>9</v>
      </c>
      <c r="V162" s="175" t="s">
        <v>9</v>
      </c>
      <c r="W162" s="175" t="s">
        <v>9</v>
      </c>
      <c r="X162" s="175" t="s">
        <v>9</v>
      </c>
      <c r="Y162" s="175" t="s">
        <v>9</v>
      </c>
      <c r="Z162" s="175"/>
      <c r="AA162" s="175" t="s">
        <v>9</v>
      </c>
      <c r="AB162" s="175" t="s">
        <v>9</v>
      </c>
      <c r="AC162" s="175" t="s">
        <v>9</v>
      </c>
      <c r="AD162" s="175" t="s">
        <v>9</v>
      </c>
      <c r="AE162" s="175" t="s">
        <v>9</v>
      </c>
      <c r="AF162" s="175" t="s">
        <v>9</v>
      </c>
      <c r="AG162" s="175"/>
      <c r="AH162" s="175" t="s">
        <v>9</v>
      </c>
      <c r="AI162" s="175" t="s">
        <v>9</v>
      </c>
      <c r="AJ162" s="175" t="s">
        <v>9</v>
      </c>
      <c r="AK162" s="175" t="s">
        <v>9</v>
      </c>
      <c r="AL162" s="172">
        <f t="shared" si="32"/>
        <v>25</v>
      </c>
      <c r="AM162" s="172">
        <f t="shared" si="33"/>
        <v>0</v>
      </c>
      <c r="AN162" s="172">
        <f t="shared" si="34"/>
        <v>0</v>
      </c>
      <c r="AO162" s="172">
        <f t="shared" si="35"/>
        <v>0</v>
      </c>
      <c r="AP162" s="172">
        <f t="shared" si="36"/>
        <v>0</v>
      </c>
      <c r="AQ162" s="172">
        <f t="shared" si="37"/>
        <v>0</v>
      </c>
      <c r="AR162" s="172">
        <f t="shared" si="38"/>
        <v>0</v>
      </c>
      <c r="AS162" s="176">
        <f t="shared" si="39"/>
        <v>0</v>
      </c>
      <c r="AT162" s="177"/>
    </row>
    <row r="163" spans="1:46" s="171" customFormat="1" ht="39" customHeight="1">
      <c r="A163" s="172">
        <v>30</v>
      </c>
      <c r="B163" s="180" t="s">
        <v>69</v>
      </c>
      <c r="C163" s="173" t="s">
        <v>70</v>
      </c>
      <c r="D163" s="172" t="s">
        <v>120</v>
      </c>
      <c r="E163" s="183" t="s">
        <v>24</v>
      </c>
      <c r="F163" s="173" t="s">
        <v>71</v>
      </c>
      <c r="G163" s="184"/>
      <c r="H163" s="175" t="s">
        <v>13</v>
      </c>
      <c r="I163" s="175" t="s">
        <v>13</v>
      </c>
      <c r="J163" s="175"/>
      <c r="K163" s="175" t="s">
        <v>15</v>
      </c>
      <c r="L163" s="175"/>
      <c r="M163" s="175" t="s">
        <v>13</v>
      </c>
      <c r="N163" s="175" t="s">
        <v>9</v>
      </c>
      <c r="O163" s="175" t="s">
        <v>9</v>
      </c>
      <c r="P163" s="175" t="s">
        <v>9</v>
      </c>
      <c r="Q163" s="175" t="s">
        <v>9</v>
      </c>
      <c r="R163" s="175" t="s">
        <v>15</v>
      </c>
      <c r="S163" s="175"/>
      <c r="T163" s="175" t="s">
        <v>9</v>
      </c>
      <c r="U163" s="175" t="s">
        <v>9</v>
      </c>
      <c r="V163" s="175" t="s">
        <v>9</v>
      </c>
      <c r="W163" s="175" t="s">
        <v>9</v>
      </c>
      <c r="X163" s="175" t="s">
        <v>9</v>
      </c>
      <c r="Y163" s="175" t="s">
        <v>9</v>
      </c>
      <c r="Z163" s="175"/>
      <c r="AA163" s="175" t="s">
        <v>9</v>
      </c>
      <c r="AB163" s="175" t="s">
        <v>9</v>
      </c>
      <c r="AC163" s="175" t="s">
        <v>9</v>
      </c>
      <c r="AD163" s="175" t="s">
        <v>9</v>
      </c>
      <c r="AE163" s="175" t="s">
        <v>9</v>
      </c>
      <c r="AF163" s="175" t="s">
        <v>15</v>
      </c>
      <c r="AG163" s="175"/>
      <c r="AH163" s="175" t="s">
        <v>9</v>
      </c>
      <c r="AI163" s="175" t="s">
        <v>9</v>
      </c>
      <c r="AJ163" s="175" t="s">
        <v>9</v>
      </c>
      <c r="AK163" s="175" t="s">
        <v>9</v>
      </c>
      <c r="AL163" s="172">
        <f t="shared" si="32"/>
        <v>19</v>
      </c>
      <c r="AM163" s="172">
        <f t="shared" si="33"/>
        <v>0</v>
      </c>
      <c r="AN163" s="172">
        <f t="shared" si="34"/>
        <v>0</v>
      </c>
      <c r="AO163" s="172">
        <f t="shared" si="35"/>
        <v>0</v>
      </c>
      <c r="AP163" s="172">
        <f t="shared" si="36"/>
        <v>0</v>
      </c>
      <c r="AQ163" s="172">
        <f t="shared" si="37"/>
        <v>3</v>
      </c>
      <c r="AR163" s="172">
        <f t="shared" si="38"/>
        <v>3</v>
      </c>
      <c r="AS163" s="176">
        <f t="shared" si="39"/>
        <v>0</v>
      </c>
      <c r="AT163" s="182">
        <v>27</v>
      </c>
    </row>
    <row r="164" spans="1:46" s="171" customFormat="1" ht="63" customHeight="1">
      <c r="A164" s="175">
        <v>31</v>
      </c>
      <c r="B164" s="180" t="s">
        <v>188</v>
      </c>
      <c r="C164" s="173" t="s">
        <v>74</v>
      </c>
      <c r="D164" s="172" t="s">
        <v>93</v>
      </c>
      <c r="E164" s="174" t="s">
        <v>73</v>
      </c>
      <c r="F164" s="181" t="s">
        <v>57</v>
      </c>
      <c r="G164" s="175"/>
      <c r="H164" s="175" t="s">
        <v>9</v>
      </c>
      <c r="I164" s="175" t="s">
        <v>9</v>
      </c>
      <c r="J164" s="175"/>
      <c r="K164" s="175" t="s">
        <v>9</v>
      </c>
      <c r="L164" s="175"/>
      <c r="M164" s="175" t="s">
        <v>9</v>
      </c>
      <c r="N164" s="175" t="s">
        <v>9</v>
      </c>
      <c r="O164" s="175" t="s">
        <v>9</v>
      </c>
      <c r="P164" s="175" t="s">
        <v>9</v>
      </c>
      <c r="Q164" s="175" t="s">
        <v>9</v>
      </c>
      <c r="R164" s="175" t="s">
        <v>9</v>
      </c>
      <c r="S164" s="175"/>
      <c r="T164" s="175" t="s">
        <v>9</v>
      </c>
      <c r="U164" s="175" t="s">
        <v>9</v>
      </c>
      <c r="V164" s="175" t="s">
        <v>9</v>
      </c>
      <c r="W164" s="175" t="s">
        <v>9</v>
      </c>
      <c r="X164" s="175" t="s">
        <v>9</v>
      </c>
      <c r="Y164" s="175" t="s">
        <v>9</v>
      </c>
      <c r="Z164" s="175"/>
      <c r="AA164" s="175" t="s">
        <v>9</v>
      </c>
      <c r="AB164" s="175" t="s">
        <v>9</v>
      </c>
      <c r="AC164" s="175" t="s">
        <v>9</v>
      </c>
      <c r="AD164" s="175" t="s">
        <v>9</v>
      </c>
      <c r="AE164" s="175" t="s">
        <v>9</v>
      </c>
      <c r="AF164" s="175" t="s">
        <v>9</v>
      </c>
      <c r="AG164" s="175"/>
      <c r="AH164" s="175" t="s">
        <v>9</v>
      </c>
      <c r="AI164" s="175" t="s">
        <v>9</v>
      </c>
      <c r="AJ164" s="175" t="s">
        <v>9</v>
      </c>
      <c r="AK164" s="175" t="s">
        <v>9</v>
      </c>
      <c r="AL164" s="172">
        <f t="shared" si="32"/>
        <v>25</v>
      </c>
      <c r="AM164" s="172">
        <f t="shared" si="33"/>
        <v>0</v>
      </c>
      <c r="AN164" s="172">
        <f t="shared" si="34"/>
        <v>0</v>
      </c>
      <c r="AO164" s="172">
        <f t="shared" si="35"/>
        <v>0</v>
      </c>
      <c r="AP164" s="172">
        <f t="shared" si="36"/>
        <v>0</v>
      </c>
      <c r="AQ164" s="172">
        <f t="shared" si="37"/>
        <v>0</v>
      </c>
      <c r="AR164" s="172">
        <f t="shared" si="38"/>
        <v>0</v>
      </c>
      <c r="AS164" s="176">
        <f t="shared" si="39"/>
        <v>0</v>
      </c>
      <c r="AT164" s="185" t="s">
        <v>192</v>
      </c>
    </row>
    <row r="165" spans="1:46" s="171" customFormat="1" ht="39" customHeight="1">
      <c r="A165" s="172">
        <v>32</v>
      </c>
      <c r="B165" s="180" t="s">
        <v>173</v>
      </c>
      <c r="C165" s="173" t="s">
        <v>178</v>
      </c>
      <c r="D165" s="172" t="s">
        <v>120</v>
      </c>
      <c r="E165" s="174" t="s">
        <v>24</v>
      </c>
      <c r="F165" s="186" t="s">
        <v>184</v>
      </c>
      <c r="G165" s="175"/>
      <c r="H165" s="175" t="s">
        <v>9</v>
      </c>
      <c r="I165" s="175" t="s">
        <v>11</v>
      </c>
      <c r="J165" s="175"/>
      <c r="K165" s="175" t="s">
        <v>11</v>
      </c>
      <c r="L165" s="175"/>
      <c r="M165" s="175" t="s">
        <v>11</v>
      </c>
      <c r="N165" s="175" t="s">
        <v>9</v>
      </c>
      <c r="O165" s="175" t="s">
        <v>9</v>
      </c>
      <c r="P165" s="175" t="s">
        <v>9</v>
      </c>
      <c r="Q165" s="175" t="s">
        <v>9</v>
      </c>
      <c r="R165" s="175" t="s">
        <v>9</v>
      </c>
      <c r="S165" s="175"/>
      <c r="T165" s="175" t="s">
        <v>9</v>
      </c>
      <c r="U165" s="175" t="s">
        <v>9</v>
      </c>
      <c r="V165" s="175"/>
      <c r="W165" s="175" t="s">
        <v>9</v>
      </c>
      <c r="X165" s="175" t="s">
        <v>9</v>
      </c>
      <c r="Y165" s="175" t="s">
        <v>9</v>
      </c>
      <c r="Z165" s="175"/>
      <c r="AA165" s="175" t="s">
        <v>9</v>
      </c>
      <c r="AB165" s="175" t="s">
        <v>9</v>
      </c>
      <c r="AC165" s="175" t="s">
        <v>11</v>
      </c>
      <c r="AD165" s="175" t="s">
        <v>11</v>
      </c>
      <c r="AE165" s="175" t="s">
        <v>9</v>
      </c>
      <c r="AF165" s="175"/>
      <c r="AG165" s="175"/>
      <c r="AH165" s="175" t="s">
        <v>11</v>
      </c>
      <c r="AI165" s="175" t="s">
        <v>9</v>
      </c>
      <c r="AJ165" s="175" t="s">
        <v>11</v>
      </c>
      <c r="AK165" s="175" t="s">
        <v>9</v>
      </c>
      <c r="AL165" s="172">
        <f t="shared" si="32"/>
        <v>16</v>
      </c>
      <c r="AM165" s="172">
        <f t="shared" si="33"/>
        <v>0</v>
      </c>
      <c r="AN165" s="172">
        <f t="shared" si="34"/>
        <v>7</v>
      </c>
      <c r="AO165" s="172">
        <f t="shared" si="35"/>
        <v>0</v>
      </c>
      <c r="AP165" s="172">
        <f t="shared" si="36"/>
        <v>0</v>
      </c>
      <c r="AQ165" s="172">
        <f t="shared" si="37"/>
        <v>0</v>
      </c>
      <c r="AR165" s="172">
        <f t="shared" si="38"/>
        <v>0</v>
      </c>
      <c r="AS165" s="176">
        <f t="shared" si="39"/>
        <v>0</v>
      </c>
      <c r="AT165" s="177"/>
    </row>
    <row r="166" spans="1:46" s="171" customFormat="1" ht="39" customHeight="1">
      <c r="A166" s="175">
        <v>33</v>
      </c>
      <c r="B166" s="180" t="s">
        <v>75</v>
      </c>
      <c r="C166" s="173" t="s">
        <v>76</v>
      </c>
      <c r="D166" s="172" t="s">
        <v>185</v>
      </c>
      <c r="E166" s="174" t="s">
        <v>24</v>
      </c>
      <c r="F166" s="186" t="s">
        <v>186</v>
      </c>
      <c r="G166" s="175"/>
      <c r="H166" s="175" t="s">
        <v>9</v>
      </c>
      <c r="I166" s="175" t="s">
        <v>9</v>
      </c>
      <c r="J166" s="175"/>
      <c r="K166" s="175" t="s">
        <v>11</v>
      </c>
      <c r="L166" s="175"/>
      <c r="M166" s="175" t="s">
        <v>11</v>
      </c>
      <c r="N166" s="175"/>
      <c r="O166" s="175" t="s">
        <v>9</v>
      </c>
      <c r="P166" s="175" t="s">
        <v>9</v>
      </c>
      <c r="Q166" s="175" t="s">
        <v>9</v>
      </c>
      <c r="R166" s="175" t="s">
        <v>9</v>
      </c>
      <c r="S166" s="175"/>
      <c r="T166" s="175" t="s">
        <v>9</v>
      </c>
      <c r="U166" s="175" t="s">
        <v>9</v>
      </c>
      <c r="V166" s="175" t="s">
        <v>9</v>
      </c>
      <c r="W166" s="175" t="s">
        <v>9</v>
      </c>
      <c r="X166" s="175" t="s">
        <v>9</v>
      </c>
      <c r="Y166" s="175" t="s">
        <v>9</v>
      </c>
      <c r="Z166" s="175"/>
      <c r="AA166" s="175"/>
      <c r="AB166" s="175" t="s">
        <v>9</v>
      </c>
      <c r="AC166" s="175" t="s">
        <v>9</v>
      </c>
      <c r="AD166" s="175" t="s">
        <v>9</v>
      </c>
      <c r="AE166" s="175"/>
      <c r="AF166" s="175" t="s">
        <v>9</v>
      </c>
      <c r="AG166" s="175"/>
      <c r="AH166" s="175" t="s">
        <v>13</v>
      </c>
      <c r="AI166" s="175" t="s">
        <v>9</v>
      </c>
      <c r="AJ166" s="175" t="s">
        <v>9</v>
      </c>
      <c r="AK166" s="175" t="s">
        <v>9</v>
      </c>
      <c r="AL166" s="172">
        <f t="shared" ref="AL166:AL183" si="40">COUNTIF(H166:AK166,"H")</f>
        <v>19</v>
      </c>
      <c r="AM166" s="172">
        <f t="shared" ref="AM166:AM183" si="41">COUNTIF(H166:AK166,"S")</f>
        <v>0</v>
      </c>
      <c r="AN166" s="172">
        <f t="shared" ref="AN166:AN183" si="42">COUNTIF(H166:AK166,"I")</f>
        <v>2</v>
      </c>
      <c r="AO166" s="172">
        <f t="shared" ref="AO166:AO183" si="43">COUNTIF(H166:AK166,"C")</f>
        <v>0</v>
      </c>
      <c r="AP166" s="172">
        <f t="shared" si="36"/>
        <v>0</v>
      </c>
      <c r="AQ166" s="172">
        <f t="shared" si="37"/>
        <v>1</v>
      </c>
      <c r="AR166" s="172">
        <f t="shared" ref="AR166:AR183" si="44">COUNTIF(H166:AK166,"IB")</f>
        <v>0</v>
      </c>
      <c r="AS166" s="176">
        <f t="shared" ref="AS166:AS183" si="45">COUNTIF(H166:AK166,"TK")</f>
        <v>0</v>
      </c>
      <c r="AT166" s="177"/>
    </row>
    <row r="167" spans="1:46" s="171" customFormat="1" ht="39" customHeight="1">
      <c r="A167" s="172">
        <v>34</v>
      </c>
      <c r="B167" s="180" t="s">
        <v>108</v>
      </c>
      <c r="C167" s="187" t="s">
        <v>116</v>
      </c>
      <c r="D167" s="172" t="s">
        <v>106</v>
      </c>
      <c r="E167" s="172" t="s">
        <v>24</v>
      </c>
      <c r="F167" s="188" t="s">
        <v>107</v>
      </c>
      <c r="G167" s="189"/>
      <c r="H167" s="175" t="s">
        <v>9</v>
      </c>
      <c r="I167" s="175" t="s">
        <v>9</v>
      </c>
      <c r="J167" s="175"/>
      <c r="K167" s="175" t="s">
        <v>11</v>
      </c>
      <c r="L167" s="175"/>
      <c r="M167" s="175" t="s">
        <v>9</v>
      </c>
      <c r="N167" s="175" t="s">
        <v>9</v>
      </c>
      <c r="O167" s="175" t="s">
        <v>9</v>
      </c>
      <c r="P167" s="175" t="s">
        <v>9</v>
      </c>
      <c r="Q167" s="175" t="s">
        <v>9</v>
      </c>
      <c r="R167" s="175" t="s">
        <v>9</v>
      </c>
      <c r="S167" s="175"/>
      <c r="T167" s="175" t="s">
        <v>9</v>
      </c>
      <c r="U167" s="175" t="s">
        <v>9</v>
      </c>
      <c r="V167" s="175" t="s">
        <v>9</v>
      </c>
      <c r="W167" s="175" t="s">
        <v>9</v>
      </c>
      <c r="X167" s="175" t="s">
        <v>9</v>
      </c>
      <c r="Y167" s="175" t="s">
        <v>9</v>
      </c>
      <c r="Z167" s="175"/>
      <c r="AA167" s="175" t="s">
        <v>9</v>
      </c>
      <c r="AB167" s="175" t="s">
        <v>9</v>
      </c>
      <c r="AC167" s="175" t="s">
        <v>9</v>
      </c>
      <c r="AD167" s="175" t="s">
        <v>9</v>
      </c>
      <c r="AE167" s="175" t="s">
        <v>9</v>
      </c>
      <c r="AF167" s="175" t="s">
        <v>9</v>
      </c>
      <c r="AG167" s="175"/>
      <c r="AH167" s="175" t="s">
        <v>9</v>
      </c>
      <c r="AI167" s="175" t="s">
        <v>9</v>
      </c>
      <c r="AJ167" s="175" t="s">
        <v>13</v>
      </c>
      <c r="AK167" s="175" t="s">
        <v>11</v>
      </c>
      <c r="AL167" s="172">
        <f t="shared" si="40"/>
        <v>22</v>
      </c>
      <c r="AM167" s="172">
        <f t="shared" si="41"/>
        <v>0</v>
      </c>
      <c r="AN167" s="172">
        <f t="shared" si="42"/>
        <v>2</v>
      </c>
      <c r="AO167" s="172">
        <f t="shared" si="43"/>
        <v>0</v>
      </c>
      <c r="AP167" s="172">
        <f t="shared" si="36"/>
        <v>0</v>
      </c>
      <c r="AQ167" s="172">
        <f t="shared" si="37"/>
        <v>1</v>
      </c>
      <c r="AR167" s="172">
        <f t="shared" si="44"/>
        <v>0</v>
      </c>
      <c r="AS167" s="176">
        <f t="shared" si="45"/>
        <v>0</v>
      </c>
      <c r="AT167" s="177"/>
    </row>
    <row r="168" spans="1:46" s="171" customFormat="1" ht="39" customHeight="1">
      <c r="A168" s="172">
        <v>35</v>
      </c>
      <c r="B168" s="180" t="s">
        <v>174</v>
      </c>
      <c r="C168" s="187" t="s">
        <v>117</v>
      </c>
      <c r="D168" s="172" t="s">
        <v>106</v>
      </c>
      <c r="E168" s="174" t="s">
        <v>24</v>
      </c>
      <c r="F168" s="188" t="s">
        <v>111</v>
      </c>
      <c r="G168" s="190"/>
      <c r="H168" s="175" t="s">
        <v>11</v>
      </c>
      <c r="I168" s="175" t="s">
        <v>11</v>
      </c>
      <c r="J168" s="175"/>
      <c r="K168" s="175" t="s">
        <v>9</v>
      </c>
      <c r="L168" s="175"/>
      <c r="M168" s="175" t="s">
        <v>11</v>
      </c>
      <c r="N168" s="175" t="s">
        <v>11</v>
      </c>
      <c r="O168" s="175" t="s">
        <v>9</v>
      </c>
      <c r="P168" s="175" t="s">
        <v>9</v>
      </c>
      <c r="Q168" s="175" t="s">
        <v>9</v>
      </c>
      <c r="R168" s="175" t="s">
        <v>9</v>
      </c>
      <c r="S168" s="175"/>
      <c r="T168" s="175" t="s">
        <v>9</v>
      </c>
      <c r="U168" s="175" t="s">
        <v>9</v>
      </c>
      <c r="V168" s="175"/>
      <c r="W168" s="175" t="s">
        <v>9</v>
      </c>
      <c r="X168" s="175" t="s">
        <v>9</v>
      </c>
      <c r="Y168" s="175" t="s">
        <v>9</v>
      </c>
      <c r="Z168" s="175"/>
      <c r="AA168" s="175" t="s">
        <v>9</v>
      </c>
      <c r="AB168" s="175" t="s">
        <v>9</v>
      </c>
      <c r="AC168" s="175" t="s">
        <v>11</v>
      </c>
      <c r="AD168" s="175" t="s">
        <v>9</v>
      </c>
      <c r="AE168" s="175" t="s">
        <v>9</v>
      </c>
      <c r="AF168" s="175" t="s">
        <v>9</v>
      </c>
      <c r="AG168" s="175"/>
      <c r="AH168" s="175" t="s">
        <v>9</v>
      </c>
      <c r="AI168" s="175" t="s">
        <v>9</v>
      </c>
      <c r="AJ168" s="175" t="s">
        <v>9</v>
      </c>
      <c r="AK168" s="175" t="s">
        <v>9</v>
      </c>
      <c r="AL168" s="172">
        <f t="shared" si="40"/>
        <v>19</v>
      </c>
      <c r="AM168" s="172">
        <f t="shared" si="41"/>
        <v>0</v>
      </c>
      <c r="AN168" s="172">
        <f t="shared" si="42"/>
        <v>5</v>
      </c>
      <c r="AO168" s="172">
        <f t="shared" si="43"/>
        <v>0</v>
      </c>
      <c r="AP168" s="172">
        <f t="shared" si="36"/>
        <v>0</v>
      </c>
      <c r="AQ168" s="172">
        <f t="shared" si="37"/>
        <v>0</v>
      </c>
      <c r="AR168" s="172">
        <f t="shared" si="44"/>
        <v>0</v>
      </c>
      <c r="AS168" s="176">
        <f t="shared" si="45"/>
        <v>0</v>
      </c>
      <c r="AT168" s="182"/>
    </row>
    <row r="169" spans="1:46" s="171" customFormat="1" ht="39" customHeight="1">
      <c r="A169" s="172">
        <v>36</v>
      </c>
      <c r="B169" s="180" t="s">
        <v>112</v>
      </c>
      <c r="C169" s="187" t="s">
        <v>118</v>
      </c>
      <c r="D169" s="172" t="s">
        <v>106</v>
      </c>
      <c r="E169" s="174" t="s">
        <v>24</v>
      </c>
      <c r="F169" s="188" t="s">
        <v>113</v>
      </c>
      <c r="G169" s="190"/>
      <c r="H169" s="175"/>
      <c r="I169" s="175" t="s">
        <v>11</v>
      </c>
      <c r="J169" s="175"/>
      <c r="K169" s="175" t="s">
        <v>9</v>
      </c>
      <c r="L169" s="175"/>
      <c r="M169" s="175" t="s">
        <v>11</v>
      </c>
      <c r="N169" s="175" t="s">
        <v>9</v>
      </c>
      <c r="O169" s="175" t="s">
        <v>9</v>
      </c>
      <c r="P169" s="175" t="s">
        <v>9</v>
      </c>
      <c r="Q169" s="175" t="s">
        <v>9</v>
      </c>
      <c r="R169" s="175"/>
      <c r="S169" s="175"/>
      <c r="T169" s="175" t="s">
        <v>9</v>
      </c>
      <c r="U169" s="175" t="s">
        <v>9</v>
      </c>
      <c r="V169" s="175" t="s">
        <v>9</v>
      </c>
      <c r="W169" s="175" t="s">
        <v>13</v>
      </c>
      <c r="X169" s="175" t="s">
        <v>9</v>
      </c>
      <c r="Y169" s="175" t="s">
        <v>9</v>
      </c>
      <c r="Z169" s="175"/>
      <c r="AA169" s="175" t="s">
        <v>9</v>
      </c>
      <c r="AB169" s="175" t="s">
        <v>13</v>
      </c>
      <c r="AC169" s="175" t="s">
        <v>13</v>
      </c>
      <c r="AD169" s="175" t="s">
        <v>9</v>
      </c>
      <c r="AE169" s="175"/>
      <c r="AF169" s="175" t="s">
        <v>9</v>
      </c>
      <c r="AG169" s="175"/>
      <c r="AH169" s="175" t="s">
        <v>9</v>
      </c>
      <c r="AI169" s="175" t="s">
        <v>13</v>
      </c>
      <c r="AJ169" s="175" t="s">
        <v>9</v>
      </c>
      <c r="AK169" s="175" t="s">
        <v>9</v>
      </c>
      <c r="AL169" s="172">
        <f t="shared" si="40"/>
        <v>16</v>
      </c>
      <c r="AM169" s="172">
        <f t="shared" si="41"/>
        <v>0</v>
      </c>
      <c r="AN169" s="172">
        <f t="shared" si="42"/>
        <v>2</v>
      </c>
      <c r="AO169" s="172">
        <f t="shared" si="43"/>
        <v>0</v>
      </c>
      <c r="AP169" s="172">
        <f t="shared" si="36"/>
        <v>0</v>
      </c>
      <c r="AQ169" s="172">
        <f t="shared" si="37"/>
        <v>4</v>
      </c>
      <c r="AR169" s="172">
        <f t="shared" si="44"/>
        <v>0</v>
      </c>
      <c r="AS169" s="176">
        <f t="shared" si="45"/>
        <v>0</v>
      </c>
      <c r="AT169" s="191">
        <v>22</v>
      </c>
    </row>
    <row r="170" spans="1:46" s="171" customFormat="1" ht="39" customHeight="1">
      <c r="A170" s="175">
        <v>37</v>
      </c>
      <c r="B170" s="180" t="s">
        <v>81</v>
      </c>
      <c r="C170" s="187" t="s">
        <v>119</v>
      </c>
      <c r="D170" s="172" t="s">
        <v>114</v>
      </c>
      <c r="E170" s="174" t="s">
        <v>24</v>
      </c>
      <c r="F170" s="188" t="s">
        <v>115</v>
      </c>
      <c r="G170" s="190"/>
      <c r="H170" s="175" t="s">
        <v>9</v>
      </c>
      <c r="I170" s="175" t="s">
        <v>9</v>
      </c>
      <c r="J170" s="175"/>
      <c r="K170" s="175"/>
      <c r="L170" s="175"/>
      <c r="M170" s="175" t="s">
        <v>9</v>
      </c>
      <c r="N170" s="175" t="s">
        <v>9</v>
      </c>
      <c r="O170" s="175" t="s">
        <v>9</v>
      </c>
      <c r="P170" s="175" t="s">
        <v>9</v>
      </c>
      <c r="Q170" s="175" t="s">
        <v>9</v>
      </c>
      <c r="R170" s="175" t="s">
        <v>9</v>
      </c>
      <c r="S170" s="175"/>
      <c r="T170" s="175" t="s">
        <v>9</v>
      </c>
      <c r="U170" s="175" t="s">
        <v>9</v>
      </c>
      <c r="V170" s="175" t="s">
        <v>9</v>
      </c>
      <c r="W170" s="175" t="s">
        <v>9</v>
      </c>
      <c r="X170" s="175" t="s">
        <v>9</v>
      </c>
      <c r="Y170" s="175" t="s">
        <v>9</v>
      </c>
      <c r="Z170" s="175"/>
      <c r="AA170" s="175" t="s">
        <v>9</v>
      </c>
      <c r="AB170" s="175" t="s">
        <v>9</v>
      </c>
      <c r="AC170" s="175" t="s">
        <v>9</v>
      </c>
      <c r="AD170" s="175" t="s">
        <v>9</v>
      </c>
      <c r="AE170" s="175" t="s">
        <v>9</v>
      </c>
      <c r="AF170" s="175" t="s">
        <v>9</v>
      </c>
      <c r="AG170" s="175"/>
      <c r="AH170" s="175" t="s">
        <v>9</v>
      </c>
      <c r="AI170" s="175" t="s">
        <v>9</v>
      </c>
      <c r="AJ170" s="175" t="s">
        <v>9</v>
      </c>
      <c r="AK170" s="175" t="s">
        <v>9</v>
      </c>
      <c r="AL170" s="172">
        <f t="shared" si="40"/>
        <v>24</v>
      </c>
      <c r="AM170" s="172">
        <f t="shared" si="41"/>
        <v>0</v>
      </c>
      <c r="AN170" s="172">
        <f t="shared" si="42"/>
        <v>0</v>
      </c>
      <c r="AO170" s="172">
        <f t="shared" si="43"/>
        <v>0</v>
      </c>
      <c r="AP170" s="172">
        <f t="shared" si="36"/>
        <v>0</v>
      </c>
      <c r="AQ170" s="172">
        <f t="shared" si="37"/>
        <v>0</v>
      </c>
      <c r="AR170" s="172">
        <f t="shared" si="44"/>
        <v>0</v>
      </c>
      <c r="AS170" s="176">
        <f t="shared" si="45"/>
        <v>0</v>
      </c>
      <c r="AT170" s="177"/>
    </row>
    <row r="171" spans="1:46" s="171" customFormat="1" ht="39" customHeight="1">
      <c r="A171" s="172">
        <v>38</v>
      </c>
      <c r="B171" s="180" t="s">
        <v>125</v>
      </c>
      <c r="C171" s="173" t="s">
        <v>126</v>
      </c>
      <c r="D171" s="172"/>
      <c r="E171" s="174" t="s">
        <v>77</v>
      </c>
      <c r="F171" s="192" t="s">
        <v>142</v>
      </c>
      <c r="G171" s="190"/>
      <c r="H171" s="175" t="s">
        <v>11</v>
      </c>
      <c r="I171" s="175" t="s">
        <v>9</v>
      </c>
      <c r="J171" s="175"/>
      <c r="K171" s="175" t="s">
        <v>9</v>
      </c>
      <c r="L171" s="175"/>
      <c r="M171" s="175" t="s">
        <v>11</v>
      </c>
      <c r="N171" s="175" t="s">
        <v>11</v>
      </c>
      <c r="O171" s="175" t="s">
        <v>11</v>
      </c>
      <c r="P171" s="175" t="s">
        <v>9</v>
      </c>
      <c r="Q171" s="175" t="s">
        <v>9</v>
      </c>
      <c r="R171" s="175" t="s">
        <v>9</v>
      </c>
      <c r="S171" s="175"/>
      <c r="T171" s="175" t="s">
        <v>11</v>
      </c>
      <c r="U171" s="175" t="s">
        <v>11</v>
      </c>
      <c r="V171" s="175" t="s">
        <v>9</v>
      </c>
      <c r="W171" s="175" t="s">
        <v>11</v>
      </c>
      <c r="X171" s="175" t="s">
        <v>9</v>
      </c>
      <c r="Y171" s="175"/>
      <c r="Z171" s="175"/>
      <c r="AA171" s="175" t="s">
        <v>11</v>
      </c>
      <c r="AB171" s="175" t="s">
        <v>11</v>
      </c>
      <c r="AC171" s="175" t="s">
        <v>11</v>
      </c>
      <c r="AD171" s="175"/>
      <c r="AE171" s="175" t="s">
        <v>9</v>
      </c>
      <c r="AF171" s="175" t="s">
        <v>11</v>
      </c>
      <c r="AG171" s="175"/>
      <c r="AH171" s="175" t="s">
        <v>11</v>
      </c>
      <c r="AI171" s="175" t="s">
        <v>11</v>
      </c>
      <c r="AJ171" s="175" t="s">
        <v>11</v>
      </c>
      <c r="AK171" s="175" t="s">
        <v>11</v>
      </c>
      <c r="AL171" s="172">
        <f t="shared" si="40"/>
        <v>8</v>
      </c>
      <c r="AM171" s="172">
        <f t="shared" si="41"/>
        <v>0</v>
      </c>
      <c r="AN171" s="172">
        <f t="shared" si="42"/>
        <v>15</v>
      </c>
      <c r="AO171" s="172">
        <f t="shared" si="43"/>
        <v>0</v>
      </c>
      <c r="AP171" s="172">
        <f t="shared" si="36"/>
        <v>0</v>
      </c>
      <c r="AQ171" s="172">
        <f t="shared" si="37"/>
        <v>0</v>
      </c>
      <c r="AR171" s="172">
        <f t="shared" si="44"/>
        <v>0</v>
      </c>
      <c r="AS171" s="176">
        <f t="shared" si="45"/>
        <v>0</v>
      </c>
      <c r="AT171" s="191">
        <v>30</v>
      </c>
    </row>
    <row r="172" spans="1:46" s="171" customFormat="1" ht="39" customHeight="1">
      <c r="A172" s="172">
        <v>39</v>
      </c>
      <c r="B172" s="180" t="s">
        <v>80</v>
      </c>
      <c r="C172" s="173" t="s">
        <v>127</v>
      </c>
      <c r="D172" s="172"/>
      <c r="E172" s="174" t="s">
        <v>77</v>
      </c>
      <c r="F172" s="192" t="s">
        <v>71</v>
      </c>
      <c r="G172" s="193"/>
      <c r="H172" s="175" t="s">
        <v>11</v>
      </c>
      <c r="I172" s="175" t="s">
        <v>11</v>
      </c>
      <c r="J172" s="175"/>
      <c r="K172" s="175" t="s">
        <v>11</v>
      </c>
      <c r="L172" s="175"/>
      <c r="M172" s="175" t="s">
        <v>11</v>
      </c>
      <c r="N172" s="175" t="s">
        <v>13</v>
      </c>
      <c r="O172" s="175"/>
      <c r="P172" s="175" t="s">
        <v>9</v>
      </c>
      <c r="Q172" s="175" t="s">
        <v>9</v>
      </c>
      <c r="R172" s="175" t="s">
        <v>9</v>
      </c>
      <c r="S172" s="175"/>
      <c r="T172" s="175" t="s">
        <v>11</v>
      </c>
      <c r="U172" s="175" t="s">
        <v>11</v>
      </c>
      <c r="V172" s="175" t="s">
        <v>9</v>
      </c>
      <c r="W172" s="175" t="s">
        <v>11</v>
      </c>
      <c r="X172" s="175" t="s">
        <v>11</v>
      </c>
      <c r="Y172" s="175" t="s">
        <v>11</v>
      </c>
      <c r="Z172" s="175"/>
      <c r="AA172" s="175"/>
      <c r="AB172" s="175" t="s">
        <v>11</v>
      </c>
      <c r="AC172" s="175" t="s">
        <v>11</v>
      </c>
      <c r="AD172" s="175" t="s">
        <v>11</v>
      </c>
      <c r="AE172" s="175" t="s">
        <v>9</v>
      </c>
      <c r="AF172" s="175" t="s">
        <v>11</v>
      </c>
      <c r="AG172" s="175"/>
      <c r="AH172" s="175" t="s">
        <v>11</v>
      </c>
      <c r="AI172" s="175"/>
      <c r="AJ172" s="175" t="s">
        <v>11</v>
      </c>
      <c r="AK172" s="175" t="s">
        <v>11</v>
      </c>
      <c r="AL172" s="172">
        <f t="shared" si="40"/>
        <v>5</v>
      </c>
      <c r="AM172" s="172">
        <f t="shared" si="41"/>
        <v>0</v>
      </c>
      <c r="AN172" s="172">
        <f t="shared" si="42"/>
        <v>16</v>
      </c>
      <c r="AO172" s="172">
        <f t="shared" si="43"/>
        <v>0</v>
      </c>
      <c r="AP172" s="172">
        <f t="shared" ref="AP172:AP183" si="46">COUNTIF(H172:AK172,"DL")</f>
        <v>1</v>
      </c>
      <c r="AQ172" s="172">
        <f t="shared" ref="AQ172:AQ183" si="47">COUNTIF(H172:AK172,"CB")</f>
        <v>0</v>
      </c>
      <c r="AR172" s="172">
        <f t="shared" si="44"/>
        <v>0</v>
      </c>
      <c r="AS172" s="176">
        <f t="shared" si="45"/>
        <v>0</v>
      </c>
      <c r="AT172" s="191" t="s">
        <v>199</v>
      </c>
    </row>
    <row r="173" spans="1:46" s="171" customFormat="1" ht="39" customHeight="1">
      <c r="A173" s="172">
        <v>40</v>
      </c>
      <c r="B173" s="180" t="s">
        <v>128</v>
      </c>
      <c r="C173" s="173" t="s">
        <v>129</v>
      </c>
      <c r="D173" s="174"/>
      <c r="E173" s="174" t="s">
        <v>77</v>
      </c>
      <c r="F173" s="192" t="s">
        <v>143</v>
      </c>
      <c r="G173" s="193"/>
      <c r="H173" s="175" t="s">
        <v>9</v>
      </c>
      <c r="I173" s="175" t="s">
        <v>9</v>
      </c>
      <c r="J173" s="175"/>
      <c r="K173" s="175" t="s">
        <v>9</v>
      </c>
      <c r="L173" s="175"/>
      <c r="M173" s="175" t="s">
        <v>9</v>
      </c>
      <c r="N173" s="175" t="s">
        <v>9</v>
      </c>
      <c r="O173" s="175" t="s">
        <v>9</v>
      </c>
      <c r="P173" s="175" t="s">
        <v>9</v>
      </c>
      <c r="Q173" s="175" t="s">
        <v>9</v>
      </c>
      <c r="R173" s="175" t="s">
        <v>9</v>
      </c>
      <c r="S173" s="175"/>
      <c r="T173" s="175" t="s">
        <v>9</v>
      </c>
      <c r="U173" s="175" t="s">
        <v>9</v>
      </c>
      <c r="V173" s="175" t="s">
        <v>9</v>
      </c>
      <c r="W173" s="175" t="s">
        <v>9</v>
      </c>
      <c r="X173" s="175" t="s">
        <v>9</v>
      </c>
      <c r="Y173" s="175" t="s">
        <v>9</v>
      </c>
      <c r="Z173" s="175"/>
      <c r="AA173" s="175" t="s">
        <v>9</v>
      </c>
      <c r="AB173" s="175" t="s">
        <v>9</v>
      </c>
      <c r="AC173" s="175" t="s">
        <v>9</v>
      </c>
      <c r="AD173" s="175" t="s">
        <v>9</v>
      </c>
      <c r="AE173" s="175" t="s">
        <v>9</v>
      </c>
      <c r="AF173" s="175" t="s">
        <v>9</v>
      </c>
      <c r="AG173" s="175"/>
      <c r="AH173" s="175" t="s">
        <v>9</v>
      </c>
      <c r="AI173" s="175" t="s">
        <v>9</v>
      </c>
      <c r="AJ173" s="175" t="s">
        <v>9</v>
      </c>
      <c r="AK173" s="175" t="s">
        <v>9</v>
      </c>
      <c r="AL173" s="172">
        <f t="shared" si="40"/>
        <v>25</v>
      </c>
      <c r="AM173" s="172">
        <f t="shared" si="41"/>
        <v>0</v>
      </c>
      <c r="AN173" s="172">
        <f t="shared" si="42"/>
        <v>0</v>
      </c>
      <c r="AO173" s="172">
        <f t="shared" si="43"/>
        <v>0</v>
      </c>
      <c r="AP173" s="172">
        <f t="shared" si="46"/>
        <v>0</v>
      </c>
      <c r="AQ173" s="172">
        <f t="shared" si="47"/>
        <v>0</v>
      </c>
      <c r="AR173" s="172">
        <f t="shared" si="44"/>
        <v>0</v>
      </c>
      <c r="AS173" s="176">
        <f t="shared" si="45"/>
        <v>0</v>
      </c>
      <c r="AT173" s="177"/>
    </row>
    <row r="174" spans="1:46" s="171" customFormat="1" ht="39" customHeight="1">
      <c r="A174" s="172">
        <v>41</v>
      </c>
      <c r="B174" s="180" t="s">
        <v>130</v>
      </c>
      <c r="C174" s="173" t="s">
        <v>131</v>
      </c>
      <c r="D174" s="174"/>
      <c r="E174" s="174" t="s">
        <v>77</v>
      </c>
      <c r="F174" s="192" t="s">
        <v>144</v>
      </c>
      <c r="G174" s="193"/>
      <c r="H174" s="175" t="s">
        <v>9</v>
      </c>
      <c r="I174" s="175" t="s">
        <v>9</v>
      </c>
      <c r="J174" s="175"/>
      <c r="K174" s="175" t="s">
        <v>9</v>
      </c>
      <c r="L174" s="175"/>
      <c r="M174" s="175" t="s">
        <v>9</v>
      </c>
      <c r="N174" s="175" t="s">
        <v>9</v>
      </c>
      <c r="O174" s="175" t="s">
        <v>9</v>
      </c>
      <c r="P174" s="175" t="s">
        <v>9</v>
      </c>
      <c r="Q174" s="175" t="s">
        <v>9</v>
      </c>
      <c r="R174" s="175" t="s">
        <v>9</v>
      </c>
      <c r="S174" s="175"/>
      <c r="T174" s="175" t="s">
        <v>9</v>
      </c>
      <c r="U174" s="175" t="s">
        <v>9</v>
      </c>
      <c r="V174" s="175" t="s">
        <v>9</v>
      </c>
      <c r="W174" s="175" t="s">
        <v>9</v>
      </c>
      <c r="X174" s="175" t="s">
        <v>9</v>
      </c>
      <c r="Y174" s="175" t="s">
        <v>9</v>
      </c>
      <c r="Z174" s="175"/>
      <c r="AA174" s="175" t="s">
        <v>9</v>
      </c>
      <c r="AB174" s="175" t="s">
        <v>9</v>
      </c>
      <c r="AC174" s="175" t="s">
        <v>9</v>
      </c>
      <c r="AD174" s="175" t="s">
        <v>9</v>
      </c>
      <c r="AE174" s="175" t="s">
        <v>9</v>
      </c>
      <c r="AF174" s="175" t="s">
        <v>9</v>
      </c>
      <c r="AG174" s="175"/>
      <c r="AH174" s="175" t="s">
        <v>9</v>
      </c>
      <c r="AI174" s="175" t="s">
        <v>9</v>
      </c>
      <c r="AJ174" s="175" t="s">
        <v>9</v>
      </c>
      <c r="AK174" s="175" t="s">
        <v>9</v>
      </c>
      <c r="AL174" s="172">
        <f t="shared" si="40"/>
        <v>25</v>
      </c>
      <c r="AM174" s="172">
        <f t="shared" si="41"/>
        <v>0</v>
      </c>
      <c r="AN174" s="172">
        <f t="shared" si="42"/>
        <v>0</v>
      </c>
      <c r="AO174" s="172">
        <f t="shared" si="43"/>
        <v>0</v>
      </c>
      <c r="AP174" s="172">
        <f t="shared" si="46"/>
        <v>0</v>
      </c>
      <c r="AQ174" s="172">
        <f t="shared" si="47"/>
        <v>0</v>
      </c>
      <c r="AR174" s="172">
        <f t="shared" si="44"/>
        <v>0</v>
      </c>
      <c r="AS174" s="176">
        <f t="shared" si="45"/>
        <v>0</v>
      </c>
      <c r="AT174" s="177"/>
    </row>
    <row r="175" spans="1:46" s="171" customFormat="1" ht="39" customHeight="1">
      <c r="A175" s="172">
        <v>42</v>
      </c>
      <c r="B175" s="180" t="s">
        <v>78</v>
      </c>
      <c r="C175" s="173" t="s">
        <v>132</v>
      </c>
      <c r="D175" s="174"/>
      <c r="E175" s="174" t="s">
        <v>77</v>
      </c>
      <c r="F175" s="192" t="s">
        <v>143</v>
      </c>
      <c r="G175" s="193"/>
      <c r="H175" s="175" t="s">
        <v>9</v>
      </c>
      <c r="I175" s="175" t="s">
        <v>9</v>
      </c>
      <c r="J175" s="175"/>
      <c r="K175" s="175" t="s">
        <v>9</v>
      </c>
      <c r="L175" s="175"/>
      <c r="M175" s="175" t="s">
        <v>9</v>
      </c>
      <c r="N175" s="175" t="s">
        <v>9</v>
      </c>
      <c r="O175" s="175" t="s">
        <v>9</v>
      </c>
      <c r="P175" s="175" t="s">
        <v>9</v>
      </c>
      <c r="Q175" s="175" t="s">
        <v>9</v>
      </c>
      <c r="R175" s="175" t="s">
        <v>9</v>
      </c>
      <c r="S175" s="175"/>
      <c r="T175" s="175" t="s">
        <v>9</v>
      </c>
      <c r="U175" s="175" t="s">
        <v>9</v>
      </c>
      <c r="V175" s="175" t="s">
        <v>9</v>
      </c>
      <c r="W175" s="175" t="s">
        <v>9</v>
      </c>
      <c r="X175" s="175" t="s">
        <v>9</v>
      </c>
      <c r="Y175" s="175" t="s">
        <v>9</v>
      </c>
      <c r="Z175" s="175"/>
      <c r="AA175" s="175" t="s">
        <v>9</v>
      </c>
      <c r="AB175" s="175" t="s">
        <v>9</v>
      </c>
      <c r="AC175" s="175" t="s">
        <v>9</v>
      </c>
      <c r="AD175" s="175" t="s">
        <v>9</v>
      </c>
      <c r="AE175" s="175" t="s">
        <v>9</v>
      </c>
      <c r="AF175" s="175" t="s">
        <v>9</v>
      </c>
      <c r="AG175" s="175"/>
      <c r="AH175" s="175" t="s">
        <v>9</v>
      </c>
      <c r="AI175" s="175" t="s">
        <v>9</v>
      </c>
      <c r="AJ175" s="175" t="s">
        <v>9</v>
      </c>
      <c r="AK175" s="175" t="s">
        <v>9</v>
      </c>
      <c r="AL175" s="172">
        <f t="shared" si="40"/>
        <v>25</v>
      </c>
      <c r="AM175" s="172">
        <f t="shared" si="41"/>
        <v>0</v>
      </c>
      <c r="AN175" s="172">
        <f t="shared" si="42"/>
        <v>0</v>
      </c>
      <c r="AO175" s="172">
        <f t="shared" si="43"/>
        <v>0</v>
      </c>
      <c r="AP175" s="172">
        <f t="shared" si="46"/>
        <v>0</v>
      </c>
      <c r="AQ175" s="172">
        <f t="shared" si="47"/>
        <v>0</v>
      </c>
      <c r="AR175" s="172">
        <f t="shared" si="44"/>
        <v>0</v>
      </c>
      <c r="AS175" s="176">
        <f t="shared" si="45"/>
        <v>0</v>
      </c>
      <c r="AT175" s="177"/>
    </row>
    <row r="176" spans="1:46" s="171" customFormat="1" ht="39" customHeight="1">
      <c r="A176" s="172">
        <v>43</v>
      </c>
      <c r="B176" s="180" t="s">
        <v>79</v>
      </c>
      <c r="C176" s="173" t="s">
        <v>167</v>
      </c>
      <c r="D176" s="172"/>
      <c r="E176" s="174" t="s">
        <v>77</v>
      </c>
      <c r="F176" s="192" t="s">
        <v>144</v>
      </c>
      <c r="G176" s="193"/>
      <c r="H176" s="175" t="s">
        <v>9</v>
      </c>
      <c r="I176" s="175" t="s">
        <v>9</v>
      </c>
      <c r="J176" s="175"/>
      <c r="K176" s="175" t="s">
        <v>9</v>
      </c>
      <c r="L176" s="175"/>
      <c r="M176" s="175" t="s">
        <v>9</v>
      </c>
      <c r="N176" s="175" t="s">
        <v>9</v>
      </c>
      <c r="O176" s="175" t="s">
        <v>9</v>
      </c>
      <c r="P176" s="175" t="s">
        <v>9</v>
      </c>
      <c r="Q176" s="175" t="s">
        <v>9</v>
      </c>
      <c r="R176" s="175" t="s">
        <v>9</v>
      </c>
      <c r="S176" s="175"/>
      <c r="T176" s="175" t="s">
        <v>9</v>
      </c>
      <c r="U176" s="175" t="s">
        <v>9</v>
      </c>
      <c r="V176" s="175" t="s">
        <v>9</v>
      </c>
      <c r="W176" s="175"/>
      <c r="X176" s="175" t="s">
        <v>9</v>
      </c>
      <c r="Y176" s="175" t="s">
        <v>9</v>
      </c>
      <c r="Z176" s="175"/>
      <c r="AA176" s="175" t="s">
        <v>9</v>
      </c>
      <c r="AB176" s="175" t="s">
        <v>9</v>
      </c>
      <c r="AC176" s="175"/>
      <c r="AD176" s="175" t="s">
        <v>9</v>
      </c>
      <c r="AE176" s="175" t="s">
        <v>9</v>
      </c>
      <c r="AF176" s="175" t="s">
        <v>9</v>
      </c>
      <c r="AG176" s="175"/>
      <c r="AH176" s="175" t="s">
        <v>9</v>
      </c>
      <c r="AI176" s="175" t="s">
        <v>11</v>
      </c>
      <c r="AJ176" s="175" t="s">
        <v>9</v>
      </c>
      <c r="AK176" s="175" t="s">
        <v>9</v>
      </c>
      <c r="AL176" s="172">
        <f t="shared" si="40"/>
        <v>22</v>
      </c>
      <c r="AM176" s="172">
        <f t="shared" si="41"/>
        <v>0</v>
      </c>
      <c r="AN176" s="172">
        <f t="shared" si="42"/>
        <v>1</v>
      </c>
      <c r="AO176" s="172">
        <f t="shared" si="43"/>
        <v>0</v>
      </c>
      <c r="AP176" s="172">
        <f t="shared" si="46"/>
        <v>0</v>
      </c>
      <c r="AQ176" s="172">
        <f t="shared" si="47"/>
        <v>0</v>
      </c>
      <c r="AR176" s="172">
        <f t="shared" si="44"/>
        <v>0</v>
      </c>
      <c r="AS176" s="176">
        <f t="shared" si="45"/>
        <v>0</v>
      </c>
      <c r="AT176" s="191"/>
    </row>
    <row r="177" spans="1:46" s="171" customFormat="1" ht="39" customHeight="1">
      <c r="A177" s="172">
        <v>44</v>
      </c>
      <c r="B177" s="180" t="s">
        <v>133</v>
      </c>
      <c r="C177" s="173" t="s">
        <v>134</v>
      </c>
      <c r="D177" s="172"/>
      <c r="E177" s="174" t="s">
        <v>77</v>
      </c>
      <c r="F177" s="192" t="s">
        <v>144</v>
      </c>
      <c r="G177" s="193"/>
      <c r="H177" s="175" t="s">
        <v>9</v>
      </c>
      <c r="I177" s="175" t="s">
        <v>9</v>
      </c>
      <c r="J177" s="175"/>
      <c r="K177" s="175" t="s">
        <v>9</v>
      </c>
      <c r="L177" s="175"/>
      <c r="M177" s="175" t="s">
        <v>9</v>
      </c>
      <c r="N177" s="175" t="s">
        <v>9</v>
      </c>
      <c r="O177" s="175" t="s">
        <v>9</v>
      </c>
      <c r="P177" s="175" t="s">
        <v>9</v>
      </c>
      <c r="Q177" s="175" t="s">
        <v>9</v>
      </c>
      <c r="R177" s="175" t="s">
        <v>9</v>
      </c>
      <c r="S177" s="175"/>
      <c r="T177" s="175" t="s">
        <v>9</v>
      </c>
      <c r="U177" s="175"/>
      <c r="V177" s="175"/>
      <c r="W177" s="175"/>
      <c r="X177" s="175"/>
      <c r="Y177" s="175"/>
      <c r="Z177" s="175"/>
      <c r="AA177" s="175"/>
      <c r="AB177" s="175"/>
      <c r="AC177" s="175"/>
      <c r="AD177" s="175"/>
      <c r="AE177" s="175"/>
      <c r="AF177" s="175"/>
      <c r="AG177" s="175"/>
      <c r="AH177" s="175" t="s">
        <v>9</v>
      </c>
      <c r="AI177" s="175" t="s">
        <v>9</v>
      </c>
      <c r="AJ177" s="175" t="s">
        <v>9</v>
      </c>
      <c r="AK177" s="175" t="s">
        <v>9</v>
      </c>
      <c r="AL177" s="172">
        <f t="shared" si="40"/>
        <v>14</v>
      </c>
      <c r="AM177" s="172">
        <f t="shared" si="41"/>
        <v>0</v>
      </c>
      <c r="AN177" s="172">
        <f t="shared" si="42"/>
        <v>0</v>
      </c>
      <c r="AO177" s="172">
        <f t="shared" si="43"/>
        <v>0</v>
      </c>
      <c r="AP177" s="172">
        <f t="shared" si="46"/>
        <v>0</v>
      </c>
      <c r="AQ177" s="172">
        <f t="shared" si="47"/>
        <v>0</v>
      </c>
      <c r="AR177" s="172">
        <f t="shared" si="44"/>
        <v>0</v>
      </c>
      <c r="AS177" s="176">
        <f t="shared" si="45"/>
        <v>0</v>
      </c>
      <c r="AT177" s="177"/>
    </row>
    <row r="178" spans="1:46" s="171" customFormat="1" ht="39" customHeight="1">
      <c r="A178" s="172">
        <v>45</v>
      </c>
      <c r="B178" s="180" t="s">
        <v>135</v>
      </c>
      <c r="C178" s="173" t="s">
        <v>136</v>
      </c>
      <c r="D178" s="172"/>
      <c r="E178" s="174" t="s">
        <v>77</v>
      </c>
      <c r="F178" s="194" t="s">
        <v>145</v>
      </c>
      <c r="G178" s="193"/>
      <c r="H178" s="175" t="s">
        <v>11</v>
      </c>
      <c r="I178" s="175" t="s">
        <v>11</v>
      </c>
      <c r="J178" s="175"/>
      <c r="K178" s="175" t="s">
        <v>11</v>
      </c>
      <c r="L178" s="175"/>
      <c r="M178" s="175" t="s">
        <v>9</v>
      </c>
      <c r="N178" s="175" t="s">
        <v>9</v>
      </c>
      <c r="O178" s="175" t="s">
        <v>9</v>
      </c>
      <c r="P178" s="175" t="s">
        <v>9</v>
      </c>
      <c r="Q178" s="175" t="s">
        <v>9</v>
      </c>
      <c r="R178" s="175" t="s">
        <v>9</v>
      </c>
      <c r="S178" s="175"/>
      <c r="T178" s="175" t="s">
        <v>11</v>
      </c>
      <c r="U178" s="175"/>
      <c r="V178" s="175" t="s">
        <v>9</v>
      </c>
      <c r="W178" s="175" t="s">
        <v>9</v>
      </c>
      <c r="X178" s="175" t="s">
        <v>9</v>
      </c>
      <c r="Y178" s="175" t="s">
        <v>11</v>
      </c>
      <c r="Z178" s="175"/>
      <c r="AA178" s="175" t="s">
        <v>9</v>
      </c>
      <c r="AB178" s="175" t="s">
        <v>11</v>
      </c>
      <c r="AC178" s="175"/>
      <c r="AD178" s="175" t="s">
        <v>9</v>
      </c>
      <c r="AE178" s="175" t="s">
        <v>9</v>
      </c>
      <c r="AF178" s="175" t="s">
        <v>11</v>
      </c>
      <c r="AG178" s="175"/>
      <c r="AH178" s="175" t="s">
        <v>9</v>
      </c>
      <c r="AI178" s="175" t="s">
        <v>9</v>
      </c>
      <c r="AJ178" s="175" t="s">
        <v>11</v>
      </c>
      <c r="AK178" s="175" t="s">
        <v>9</v>
      </c>
      <c r="AL178" s="172">
        <f t="shared" si="40"/>
        <v>15</v>
      </c>
      <c r="AM178" s="172">
        <f t="shared" si="41"/>
        <v>0</v>
      </c>
      <c r="AN178" s="172">
        <f t="shared" si="42"/>
        <v>8</v>
      </c>
      <c r="AO178" s="172">
        <f t="shared" si="43"/>
        <v>0</v>
      </c>
      <c r="AP178" s="172">
        <f t="shared" si="46"/>
        <v>0</v>
      </c>
      <c r="AQ178" s="172">
        <f t="shared" si="47"/>
        <v>0</v>
      </c>
      <c r="AR178" s="172">
        <f t="shared" si="44"/>
        <v>0</v>
      </c>
      <c r="AS178" s="176">
        <f t="shared" si="45"/>
        <v>0</v>
      </c>
      <c r="AT178" s="185" t="s">
        <v>201</v>
      </c>
    </row>
    <row r="179" spans="1:46" s="171" customFormat="1" ht="39" customHeight="1">
      <c r="A179" s="172">
        <v>46</v>
      </c>
      <c r="B179" s="195" t="s">
        <v>109</v>
      </c>
      <c r="C179" s="173" t="s">
        <v>137</v>
      </c>
      <c r="D179" s="172"/>
      <c r="E179" s="174" t="s">
        <v>77</v>
      </c>
      <c r="F179" s="194" t="s">
        <v>145</v>
      </c>
      <c r="G179" s="196"/>
      <c r="H179" s="175" t="s">
        <v>9</v>
      </c>
      <c r="I179" s="175" t="s">
        <v>9</v>
      </c>
      <c r="J179" s="175"/>
      <c r="K179" s="175" t="s">
        <v>9</v>
      </c>
      <c r="L179" s="175"/>
      <c r="M179" s="175" t="s">
        <v>9</v>
      </c>
      <c r="N179" s="175" t="s">
        <v>9</v>
      </c>
      <c r="O179" s="175" t="s">
        <v>9</v>
      </c>
      <c r="P179" s="175" t="s">
        <v>9</v>
      </c>
      <c r="Q179" s="175" t="s">
        <v>9</v>
      </c>
      <c r="R179" s="175" t="s">
        <v>9</v>
      </c>
      <c r="S179" s="175"/>
      <c r="T179" s="175" t="s">
        <v>9</v>
      </c>
      <c r="U179" s="175" t="s">
        <v>9</v>
      </c>
      <c r="V179" s="175" t="s">
        <v>9</v>
      </c>
      <c r="W179" s="175" t="s">
        <v>11</v>
      </c>
      <c r="X179" s="175" t="s">
        <v>9</v>
      </c>
      <c r="Y179" s="175" t="s">
        <v>9</v>
      </c>
      <c r="Z179" s="175"/>
      <c r="AA179" s="175"/>
      <c r="AB179" s="175" t="s">
        <v>9</v>
      </c>
      <c r="AC179" s="175" t="s">
        <v>9</v>
      </c>
      <c r="AD179" s="175" t="s">
        <v>9</v>
      </c>
      <c r="AE179" s="175" t="s">
        <v>9</v>
      </c>
      <c r="AF179" s="175" t="s">
        <v>9</v>
      </c>
      <c r="AG179" s="175"/>
      <c r="AH179" s="175" t="s">
        <v>9</v>
      </c>
      <c r="AI179" s="175" t="s">
        <v>9</v>
      </c>
      <c r="AJ179" s="175" t="s">
        <v>9</v>
      </c>
      <c r="AK179" s="175" t="s">
        <v>9</v>
      </c>
      <c r="AL179" s="172">
        <f t="shared" si="40"/>
        <v>23</v>
      </c>
      <c r="AM179" s="172">
        <f t="shared" si="41"/>
        <v>0</v>
      </c>
      <c r="AN179" s="172">
        <f t="shared" si="42"/>
        <v>1</v>
      </c>
      <c r="AO179" s="172">
        <f t="shared" si="43"/>
        <v>0</v>
      </c>
      <c r="AP179" s="172">
        <f t="shared" si="46"/>
        <v>0</v>
      </c>
      <c r="AQ179" s="172">
        <f t="shared" si="47"/>
        <v>0</v>
      </c>
      <c r="AR179" s="172">
        <f t="shared" si="44"/>
        <v>0</v>
      </c>
      <c r="AS179" s="176">
        <f t="shared" si="45"/>
        <v>0</v>
      </c>
      <c r="AT179" s="185">
        <v>16</v>
      </c>
    </row>
    <row r="180" spans="1:46" s="171" customFormat="1" ht="39" customHeight="1">
      <c r="A180" s="172">
        <v>47</v>
      </c>
      <c r="B180" s="195" t="s">
        <v>82</v>
      </c>
      <c r="C180" s="173" t="s">
        <v>138</v>
      </c>
      <c r="D180" s="172"/>
      <c r="E180" s="174" t="s">
        <v>77</v>
      </c>
      <c r="F180" s="194" t="s">
        <v>145</v>
      </c>
      <c r="G180" s="196"/>
      <c r="H180" s="175" t="s">
        <v>11</v>
      </c>
      <c r="I180" s="175" t="s">
        <v>11</v>
      </c>
      <c r="J180" s="175"/>
      <c r="K180" s="175" t="s">
        <v>11</v>
      </c>
      <c r="L180" s="175"/>
      <c r="M180" s="175" t="s">
        <v>9</v>
      </c>
      <c r="N180" s="175" t="s">
        <v>9</v>
      </c>
      <c r="O180" s="175" t="s">
        <v>11</v>
      </c>
      <c r="P180" s="175" t="s">
        <v>9</v>
      </c>
      <c r="Q180" s="175" t="s">
        <v>9</v>
      </c>
      <c r="R180" s="175" t="s">
        <v>9</v>
      </c>
      <c r="S180" s="175"/>
      <c r="T180" s="175" t="s">
        <v>11</v>
      </c>
      <c r="U180" s="175" t="s">
        <v>11</v>
      </c>
      <c r="V180" s="175" t="s">
        <v>9</v>
      </c>
      <c r="W180" s="175" t="s">
        <v>11</v>
      </c>
      <c r="X180" s="175" t="s">
        <v>9</v>
      </c>
      <c r="Y180" s="175" t="s">
        <v>11</v>
      </c>
      <c r="Z180" s="175"/>
      <c r="AA180" s="175" t="s">
        <v>11</v>
      </c>
      <c r="AB180" s="175" t="s">
        <v>11</v>
      </c>
      <c r="AC180" s="175" t="s">
        <v>11</v>
      </c>
      <c r="AD180" s="175" t="s">
        <v>9</v>
      </c>
      <c r="AE180" s="175" t="s">
        <v>9</v>
      </c>
      <c r="AF180" s="175" t="s">
        <v>9</v>
      </c>
      <c r="AG180" s="175"/>
      <c r="AH180" s="175" t="s">
        <v>11</v>
      </c>
      <c r="AI180" s="175" t="s">
        <v>11</v>
      </c>
      <c r="AJ180" s="175" t="s">
        <v>11</v>
      </c>
      <c r="AK180" s="175" t="s">
        <v>9</v>
      </c>
      <c r="AL180" s="172">
        <f t="shared" si="40"/>
        <v>11</v>
      </c>
      <c r="AM180" s="172">
        <f t="shared" si="41"/>
        <v>0</v>
      </c>
      <c r="AN180" s="172">
        <f t="shared" si="42"/>
        <v>14</v>
      </c>
      <c r="AO180" s="172">
        <f t="shared" si="43"/>
        <v>0</v>
      </c>
      <c r="AP180" s="172">
        <f t="shared" si="46"/>
        <v>0</v>
      </c>
      <c r="AQ180" s="172">
        <f t="shared" si="47"/>
        <v>0</v>
      </c>
      <c r="AR180" s="172">
        <f t="shared" si="44"/>
        <v>0</v>
      </c>
      <c r="AS180" s="176">
        <f t="shared" si="45"/>
        <v>0</v>
      </c>
      <c r="AT180" s="185" t="s">
        <v>202</v>
      </c>
    </row>
    <row r="181" spans="1:46" s="171" customFormat="1" ht="39" customHeight="1">
      <c r="A181" s="172">
        <v>48</v>
      </c>
      <c r="B181" s="180" t="s">
        <v>83</v>
      </c>
      <c r="C181" s="173" t="s">
        <v>139</v>
      </c>
      <c r="D181" s="197"/>
      <c r="E181" s="198" t="s">
        <v>77</v>
      </c>
      <c r="F181" s="194" t="s">
        <v>145</v>
      </c>
      <c r="G181" s="196"/>
      <c r="H181" s="175" t="s">
        <v>9</v>
      </c>
      <c r="I181" s="175" t="s">
        <v>9</v>
      </c>
      <c r="J181" s="175"/>
      <c r="K181" s="175" t="s">
        <v>9</v>
      </c>
      <c r="L181" s="175"/>
      <c r="M181" s="175" t="s">
        <v>9</v>
      </c>
      <c r="N181" s="175" t="s">
        <v>9</v>
      </c>
      <c r="O181" s="175" t="s">
        <v>9</v>
      </c>
      <c r="P181" s="175" t="s">
        <v>9</v>
      </c>
      <c r="Q181" s="175" t="s">
        <v>9</v>
      </c>
      <c r="R181" s="175" t="s">
        <v>9</v>
      </c>
      <c r="S181" s="175"/>
      <c r="T181" s="175" t="s">
        <v>9</v>
      </c>
      <c r="U181" s="175" t="s">
        <v>9</v>
      </c>
      <c r="V181" s="175" t="s">
        <v>9</v>
      </c>
      <c r="W181" s="175" t="s">
        <v>9</v>
      </c>
      <c r="X181" s="175" t="s">
        <v>9</v>
      </c>
      <c r="Y181" s="175"/>
      <c r="Z181" s="175"/>
      <c r="AA181" s="175" t="s">
        <v>9</v>
      </c>
      <c r="AB181" s="175" t="s">
        <v>9</v>
      </c>
      <c r="AC181" s="175" t="s">
        <v>9</v>
      </c>
      <c r="AD181" s="175" t="s">
        <v>9</v>
      </c>
      <c r="AE181" s="175" t="s">
        <v>9</v>
      </c>
      <c r="AF181" s="175" t="s">
        <v>9</v>
      </c>
      <c r="AG181" s="175"/>
      <c r="AH181" s="175" t="s">
        <v>9</v>
      </c>
      <c r="AI181" s="175" t="s">
        <v>9</v>
      </c>
      <c r="AJ181" s="175" t="s">
        <v>9</v>
      </c>
      <c r="AK181" s="175" t="s">
        <v>9</v>
      </c>
      <c r="AL181" s="172">
        <f t="shared" si="40"/>
        <v>24</v>
      </c>
      <c r="AM181" s="172">
        <f t="shared" si="41"/>
        <v>0</v>
      </c>
      <c r="AN181" s="172">
        <f t="shared" si="42"/>
        <v>0</v>
      </c>
      <c r="AO181" s="172">
        <f t="shared" si="43"/>
        <v>0</v>
      </c>
      <c r="AP181" s="172">
        <f t="shared" si="46"/>
        <v>0</v>
      </c>
      <c r="AQ181" s="172">
        <f t="shared" si="47"/>
        <v>0</v>
      </c>
      <c r="AR181" s="172">
        <f t="shared" si="44"/>
        <v>0</v>
      </c>
      <c r="AS181" s="176">
        <f t="shared" si="45"/>
        <v>0</v>
      </c>
      <c r="AT181" s="177"/>
    </row>
    <row r="182" spans="1:46" s="171" customFormat="1" ht="39" customHeight="1">
      <c r="A182" s="172">
        <v>49</v>
      </c>
      <c r="B182" s="180" t="s">
        <v>141</v>
      </c>
      <c r="C182" s="172" t="s">
        <v>140</v>
      </c>
      <c r="D182" s="172" t="s">
        <v>100</v>
      </c>
      <c r="E182" s="174" t="s">
        <v>77</v>
      </c>
      <c r="F182" s="194" t="s">
        <v>102</v>
      </c>
      <c r="G182" s="196"/>
      <c r="H182" s="175" t="s">
        <v>9</v>
      </c>
      <c r="I182" s="175" t="s">
        <v>9</v>
      </c>
      <c r="J182" s="175"/>
      <c r="K182" s="175" t="s">
        <v>9</v>
      </c>
      <c r="L182" s="175"/>
      <c r="M182" s="175" t="s">
        <v>9</v>
      </c>
      <c r="N182" s="175" t="s">
        <v>9</v>
      </c>
      <c r="O182" s="175" t="s">
        <v>9</v>
      </c>
      <c r="P182" s="175" t="s">
        <v>9</v>
      </c>
      <c r="Q182" s="175" t="s">
        <v>9</v>
      </c>
      <c r="R182" s="175" t="s">
        <v>9</v>
      </c>
      <c r="S182" s="175"/>
      <c r="T182" s="175" t="s">
        <v>9</v>
      </c>
      <c r="U182" s="175" t="s">
        <v>9</v>
      </c>
      <c r="V182" s="175" t="s">
        <v>9</v>
      </c>
      <c r="W182" s="175" t="s">
        <v>9</v>
      </c>
      <c r="X182" s="175" t="s">
        <v>9</v>
      </c>
      <c r="Y182" s="175" t="s">
        <v>9</v>
      </c>
      <c r="Z182" s="175"/>
      <c r="AA182" s="175" t="s">
        <v>9</v>
      </c>
      <c r="AB182" s="175" t="s">
        <v>9</v>
      </c>
      <c r="AC182" s="175" t="s">
        <v>9</v>
      </c>
      <c r="AD182" s="175" t="s">
        <v>9</v>
      </c>
      <c r="AE182" s="175" t="s">
        <v>9</v>
      </c>
      <c r="AF182" s="175" t="s">
        <v>9</v>
      </c>
      <c r="AG182" s="175"/>
      <c r="AH182" s="175" t="s">
        <v>9</v>
      </c>
      <c r="AI182" s="175" t="s">
        <v>9</v>
      </c>
      <c r="AJ182" s="175" t="s">
        <v>9</v>
      </c>
      <c r="AK182" s="175" t="s">
        <v>9</v>
      </c>
      <c r="AL182" s="172">
        <f t="shared" si="40"/>
        <v>25</v>
      </c>
      <c r="AM182" s="172">
        <f t="shared" si="41"/>
        <v>0</v>
      </c>
      <c r="AN182" s="172">
        <f t="shared" si="42"/>
        <v>0</v>
      </c>
      <c r="AO182" s="172">
        <f t="shared" si="43"/>
        <v>0</v>
      </c>
      <c r="AP182" s="172">
        <f t="shared" si="46"/>
        <v>0</v>
      </c>
      <c r="AQ182" s="172">
        <f t="shared" si="47"/>
        <v>0</v>
      </c>
      <c r="AR182" s="172">
        <f t="shared" si="44"/>
        <v>0</v>
      </c>
      <c r="AS182" s="176">
        <f t="shared" si="45"/>
        <v>0</v>
      </c>
      <c r="AT182" s="185"/>
    </row>
    <row r="183" spans="1:46" s="171" customFormat="1" ht="39" customHeight="1">
      <c r="A183" s="172">
        <v>50</v>
      </c>
      <c r="B183" s="180" t="s">
        <v>175</v>
      </c>
      <c r="C183" s="172" t="s">
        <v>140</v>
      </c>
      <c r="D183" s="172" t="s">
        <v>100</v>
      </c>
      <c r="E183" s="199" t="s">
        <v>77</v>
      </c>
      <c r="F183" s="192" t="s">
        <v>103</v>
      </c>
      <c r="G183" s="196"/>
      <c r="H183" s="175" t="s">
        <v>9</v>
      </c>
      <c r="I183" s="175" t="s">
        <v>9</v>
      </c>
      <c r="J183" s="175"/>
      <c r="K183" s="175" t="s">
        <v>9</v>
      </c>
      <c r="L183" s="175"/>
      <c r="M183" s="175" t="s">
        <v>9</v>
      </c>
      <c r="N183" s="175" t="s">
        <v>9</v>
      </c>
      <c r="O183" s="175" t="s">
        <v>9</v>
      </c>
      <c r="P183" s="175" t="s">
        <v>9</v>
      </c>
      <c r="Q183" s="175" t="s">
        <v>9</v>
      </c>
      <c r="R183" s="175" t="s">
        <v>9</v>
      </c>
      <c r="S183" s="175"/>
      <c r="T183" s="175" t="s">
        <v>11</v>
      </c>
      <c r="U183" s="175" t="s">
        <v>9</v>
      </c>
      <c r="V183" s="175" t="s">
        <v>9</v>
      </c>
      <c r="W183" s="175" t="s">
        <v>9</v>
      </c>
      <c r="X183" s="175" t="s">
        <v>9</v>
      </c>
      <c r="Y183" s="175" t="s">
        <v>11</v>
      </c>
      <c r="Z183" s="175"/>
      <c r="AA183" s="175" t="s">
        <v>9</v>
      </c>
      <c r="AB183" s="175" t="s">
        <v>9</v>
      </c>
      <c r="AC183" s="175"/>
      <c r="AD183" s="175" t="s">
        <v>9</v>
      </c>
      <c r="AE183" s="175" t="s">
        <v>9</v>
      </c>
      <c r="AF183" s="175" t="s">
        <v>9</v>
      </c>
      <c r="AG183" s="175"/>
      <c r="AH183" s="175" t="s">
        <v>11</v>
      </c>
      <c r="AI183" s="175" t="s">
        <v>9</v>
      </c>
      <c r="AJ183" s="175" t="s">
        <v>9</v>
      </c>
      <c r="AK183" s="175" t="s">
        <v>11</v>
      </c>
      <c r="AL183" s="172">
        <f t="shared" si="40"/>
        <v>20</v>
      </c>
      <c r="AM183" s="172">
        <f t="shared" si="41"/>
        <v>0</v>
      </c>
      <c r="AN183" s="172">
        <f t="shared" si="42"/>
        <v>4</v>
      </c>
      <c r="AO183" s="172">
        <f t="shared" si="43"/>
        <v>0</v>
      </c>
      <c r="AP183" s="172">
        <f t="shared" si="46"/>
        <v>0</v>
      </c>
      <c r="AQ183" s="172">
        <f t="shared" si="47"/>
        <v>0</v>
      </c>
      <c r="AR183" s="172">
        <f t="shared" si="44"/>
        <v>0</v>
      </c>
      <c r="AS183" s="176">
        <f t="shared" si="45"/>
        <v>0</v>
      </c>
      <c r="AT183" s="185" t="s">
        <v>205</v>
      </c>
    </row>
    <row r="184" spans="1:46" ht="18.600000000000001" customHeight="1">
      <c r="A184" s="164"/>
      <c r="B184" s="73"/>
      <c r="AL184" s="216" t="s">
        <v>190</v>
      </c>
      <c r="AM184" s="216"/>
      <c r="AN184" s="216"/>
      <c r="AO184" s="216"/>
      <c r="AP184" s="216"/>
      <c r="AQ184" s="216"/>
      <c r="AR184" s="216"/>
      <c r="AS184" s="216"/>
    </row>
    <row r="185" spans="1:46" ht="18.600000000000001" customHeight="1">
      <c r="O185" s="118"/>
      <c r="AL185" s="162"/>
      <c r="AM185" s="162"/>
      <c r="AN185" s="162"/>
      <c r="AO185" s="162"/>
      <c r="AP185" s="162"/>
      <c r="AQ185" s="117"/>
    </row>
    <row r="186" spans="1:46" ht="18.600000000000001" customHeight="1">
      <c r="F186" s="119" t="s">
        <v>84</v>
      </c>
      <c r="G186" s="119"/>
      <c r="AL186" s="213" t="s">
        <v>104</v>
      </c>
      <c r="AM186" s="214"/>
      <c r="AN186" s="214"/>
      <c r="AO186" s="214"/>
      <c r="AP186" s="214"/>
      <c r="AQ186" s="214"/>
      <c r="AR186" s="214"/>
      <c r="AS186" s="214"/>
    </row>
    <row r="187" spans="1:46" ht="18.600000000000001" customHeight="1">
      <c r="AL187" s="162"/>
      <c r="AM187" s="162"/>
      <c r="AN187" s="162"/>
      <c r="AO187" s="162"/>
      <c r="AP187" s="162"/>
      <c r="AQ187" s="117"/>
    </row>
    <row r="188" spans="1:46" ht="18.600000000000001" customHeight="1">
      <c r="F188" s="112"/>
      <c r="G188" s="112"/>
      <c r="AL188" s="162"/>
      <c r="AM188" s="164"/>
      <c r="AN188" s="164"/>
      <c r="AO188" s="120"/>
      <c r="AP188" s="164"/>
    </row>
    <row r="189" spans="1:46" ht="18.600000000000001" customHeight="1">
      <c r="F189" s="119"/>
      <c r="G189" s="119"/>
      <c r="T189" s="121"/>
      <c r="U189" s="121"/>
      <c r="V189" s="121"/>
      <c r="W189" s="121"/>
      <c r="X189" s="121"/>
      <c r="Y189" s="121"/>
      <c r="Z189" s="121"/>
      <c r="AL189" s="162"/>
      <c r="AM189" s="162"/>
      <c r="AN189" s="162"/>
      <c r="AO189" s="122"/>
      <c r="AP189" s="122"/>
      <c r="AQ189" s="117"/>
    </row>
    <row r="190" spans="1:46" ht="18.600000000000001" customHeight="1">
      <c r="F190" s="106" t="s">
        <v>122</v>
      </c>
      <c r="G190" s="106"/>
      <c r="O190" s="118"/>
      <c r="AL190" s="216" t="s">
        <v>110</v>
      </c>
      <c r="AM190" s="216"/>
      <c r="AN190" s="216"/>
      <c r="AO190" s="216"/>
      <c r="AP190" s="216"/>
      <c r="AQ190" s="216"/>
      <c r="AR190" s="216"/>
      <c r="AS190" s="216"/>
    </row>
    <row r="191" spans="1:46" ht="18.600000000000001" customHeight="1">
      <c r="A191" s="163"/>
      <c r="B191" s="217"/>
      <c r="C191" s="217"/>
      <c r="D191" s="163"/>
      <c r="E191" s="163"/>
      <c r="F191" s="107" t="s">
        <v>146</v>
      </c>
      <c r="G191" s="107"/>
      <c r="H191" s="163"/>
      <c r="I191" s="163"/>
      <c r="J191" s="163"/>
      <c r="K191" s="163"/>
      <c r="L191" s="163"/>
      <c r="M191" s="163"/>
      <c r="N191" s="163"/>
      <c r="O191" s="163"/>
      <c r="P191" s="163"/>
      <c r="Q191" s="163"/>
      <c r="R191" s="163"/>
      <c r="S191" s="163"/>
      <c r="T191" s="163"/>
      <c r="U191" s="163"/>
      <c r="V191" s="163"/>
      <c r="W191" s="163"/>
      <c r="X191" s="163"/>
      <c r="Y191" s="163"/>
      <c r="Z191" s="163"/>
      <c r="AA191" s="163"/>
      <c r="AB191" s="163"/>
      <c r="AC191" s="163"/>
      <c r="AD191" s="163"/>
      <c r="AE191" s="163"/>
      <c r="AF191" s="163"/>
      <c r="AG191" s="163"/>
      <c r="AH191" s="163"/>
      <c r="AI191" s="163"/>
      <c r="AJ191" s="163"/>
      <c r="AK191" s="163"/>
      <c r="AL191" s="108" t="s">
        <v>147</v>
      </c>
      <c r="AM191" s="162"/>
      <c r="AN191" s="162"/>
      <c r="AO191" s="109"/>
      <c r="AP191" s="105"/>
      <c r="AQ191" s="105"/>
      <c r="AR191" s="102"/>
      <c r="AS191" s="102"/>
      <c r="AT191" s="163"/>
    </row>
    <row r="192" spans="1:46" ht="18.600000000000001" customHeight="1">
      <c r="A192" s="163"/>
      <c r="B192" s="163"/>
      <c r="C192" s="163"/>
      <c r="D192" s="163"/>
      <c r="E192" s="163"/>
      <c r="F192" s="123"/>
      <c r="G192" s="12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T192" s="163"/>
    </row>
    <row r="193" spans="1:54" ht="19.899999999999999" customHeight="1">
      <c r="A193" s="222" t="s">
        <v>179</v>
      </c>
      <c r="B193" s="223"/>
      <c r="C193" s="222"/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  <c r="P193" s="222"/>
      <c r="Q193" s="222"/>
      <c r="R193" s="222"/>
      <c r="S193" s="222"/>
      <c r="T193" s="222"/>
      <c r="U193" s="222"/>
      <c r="V193" s="222"/>
      <c r="W193" s="222"/>
      <c r="X193" s="222"/>
      <c r="Y193" s="222"/>
      <c r="Z193" s="222"/>
      <c r="AA193" s="222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222"/>
      <c r="AP193" s="222"/>
      <c r="AQ193" s="222"/>
      <c r="AR193" s="222"/>
      <c r="AS193" s="222"/>
      <c r="AT193" s="222"/>
    </row>
    <row r="194" spans="1:54" ht="19.899999999999999" customHeight="1">
      <c r="A194" s="222" t="s">
        <v>0</v>
      </c>
      <c r="B194" s="223"/>
      <c r="C194" s="222"/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  <c r="P194" s="222"/>
      <c r="Q194" s="222"/>
      <c r="R194" s="222"/>
      <c r="S194" s="222"/>
      <c r="T194" s="222"/>
      <c r="U194" s="222"/>
      <c r="V194" s="222"/>
      <c r="W194" s="222"/>
      <c r="X194" s="222"/>
      <c r="Y194" s="222"/>
      <c r="Z194" s="222"/>
      <c r="AA194" s="222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222"/>
      <c r="AP194" s="222"/>
      <c r="AQ194" s="222"/>
      <c r="AR194" s="222"/>
      <c r="AS194" s="222"/>
      <c r="AT194" s="222"/>
    </row>
    <row r="195" spans="1:54" ht="19.899999999999999" customHeight="1" thickBot="1">
      <c r="A195" s="222" t="str">
        <f>APRIL!A3</f>
        <v>BULAN APRIL 2026</v>
      </c>
      <c r="B195" s="223"/>
      <c r="C195" s="222"/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  <c r="P195" s="222"/>
      <c r="Q195" s="222"/>
      <c r="R195" s="222"/>
      <c r="S195" s="222"/>
      <c r="T195" s="222"/>
      <c r="U195" s="222"/>
      <c r="V195" s="222"/>
      <c r="W195" s="222"/>
      <c r="X195" s="222"/>
      <c r="Y195" s="222"/>
      <c r="Z195" s="222"/>
      <c r="AA195" s="222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222"/>
      <c r="AP195" s="222"/>
      <c r="AQ195" s="222"/>
      <c r="AR195" s="222"/>
      <c r="AS195" s="222"/>
      <c r="AT195" s="222"/>
    </row>
    <row r="196" spans="1:54" ht="19.899999999999999" customHeight="1" thickBot="1">
      <c r="A196" s="224" t="s">
        <v>1</v>
      </c>
      <c r="B196" s="226" t="s">
        <v>2</v>
      </c>
      <c r="C196" s="227"/>
      <c r="D196" s="74" t="s">
        <v>3</v>
      </c>
      <c r="E196" s="230" t="s">
        <v>4</v>
      </c>
      <c r="F196" s="232" t="s">
        <v>5</v>
      </c>
      <c r="G196" s="124"/>
      <c r="H196" s="234" t="s">
        <v>6</v>
      </c>
      <c r="I196" s="235"/>
      <c r="J196" s="235"/>
      <c r="K196" s="235"/>
      <c r="L196" s="235"/>
      <c r="M196" s="235"/>
      <c r="N196" s="235"/>
      <c r="O196" s="236"/>
      <c r="P196" s="237" t="s">
        <v>85</v>
      </c>
      <c r="Q196" s="238"/>
      <c r="R196" s="238"/>
      <c r="S196" s="238"/>
      <c r="T196" s="238"/>
      <c r="U196" s="238"/>
      <c r="V196" s="238"/>
      <c r="W196" s="239"/>
      <c r="X196" s="240" t="s">
        <v>87</v>
      </c>
      <c r="Y196" s="241"/>
      <c r="Z196" s="241"/>
      <c r="AA196" s="241"/>
      <c r="AB196" s="241"/>
      <c r="AC196" s="241"/>
      <c r="AD196" s="241"/>
      <c r="AE196" s="242"/>
      <c r="AF196" s="243" t="s">
        <v>101</v>
      </c>
      <c r="AG196" s="244"/>
      <c r="AH196" s="244"/>
      <c r="AI196" s="244"/>
      <c r="AJ196" s="244"/>
      <c r="AK196" s="244"/>
      <c r="AL196" s="244"/>
      <c r="AM196" s="244"/>
      <c r="AN196" s="245"/>
      <c r="AO196" s="246" t="s">
        <v>7</v>
      </c>
      <c r="AP196" s="247"/>
      <c r="AQ196" s="247"/>
      <c r="AR196" s="247"/>
      <c r="AS196" s="247"/>
      <c r="AT196" s="248"/>
    </row>
    <row r="197" spans="1:54" ht="19.899999999999999" customHeight="1">
      <c r="A197" s="225"/>
      <c r="B197" s="228"/>
      <c r="C197" s="229"/>
      <c r="D197" s="75" t="s">
        <v>8</v>
      </c>
      <c r="E197" s="231"/>
      <c r="F197" s="233"/>
      <c r="G197" s="125"/>
      <c r="H197" s="12" t="s">
        <v>9</v>
      </c>
      <c r="I197" s="13" t="s">
        <v>10</v>
      </c>
      <c r="J197" s="14" t="s">
        <v>11</v>
      </c>
      <c r="K197" s="14" t="s">
        <v>12</v>
      </c>
      <c r="L197" s="14" t="s">
        <v>13</v>
      </c>
      <c r="M197" s="14" t="s">
        <v>14</v>
      </c>
      <c r="N197" s="14" t="s">
        <v>15</v>
      </c>
      <c r="O197" s="15" t="s">
        <v>16</v>
      </c>
      <c r="P197" s="18" t="s">
        <v>9</v>
      </c>
      <c r="Q197" s="19" t="s">
        <v>10</v>
      </c>
      <c r="R197" s="20" t="s">
        <v>11</v>
      </c>
      <c r="S197" s="20" t="s">
        <v>12</v>
      </c>
      <c r="T197" s="20" t="s">
        <v>13</v>
      </c>
      <c r="U197" s="20" t="s">
        <v>14</v>
      </c>
      <c r="V197" s="20" t="s">
        <v>15</v>
      </c>
      <c r="W197" s="21" t="s">
        <v>16</v>
      </c>
      <c r="X197" s="24" t="s">
        <v>9</v>
      </c>
      <c r="Y197" s="25" t="s">
        <v>10</v>
      </c>
      <c r="Z197" s="26" t="s">
        <v>11</v>
      </c>
      <c r="AA197" s="26" t="s">
        <v>12</v>
      </c>
      <c r="AB197" s="26" t="s">
        <v>13</v>
      </c>
      <c r="AC197" s="26" t="s">
        <v>14</v>
      </c>
      <c r="AD197" s="26" t="s">
        <v>15</v>
      </c>
      <c r="AE197" s="27" t="s">
        <v>16</v>
      </c>
      <c r="AF197" s="76" t="s">
        <v>10</v>
      </c>
      <c r="AG197" s="158"/>
      <c r="AH197" s="75" t="s">
        <v>11</v>
      </c>
      <c r="AI197" s="75"/>
      <c r="AJ197" s="75"/>
      <c r="AK197" s="75" t="s">
        <v>12</v>
      </c>
      <c r="AL197" s="126" t="s">
        <v>13</v>
      </c>
      <c r="AM197" s="75" t="s">
        <v>15</v>
      </c>
      <c r="AN197" s="156" t="s">
        <v>16</v>
      </c>
      <c r="AO197" s="249"/>
      <c r="AP197" s="250"/>
      <c r="AQ197" s="250"/>
      <c r="AR197" s="250"/>
      <c r="AS197" s="250"/>
      <c r="AT197" s="251"/>
      <c r="AY197" s="219"/>
      <c r="AZ197" s="219"/>
      <c r="BA197" s="219"/>
      <c r="BB197" s="219"/>
    </row>
    <row r="198" spans="1:54" ht="7.9" customHeight="1" thickBot="1">
      <c r="A198" s="77"/>
      <c r="B198" s="220"/>
      <c r="C198" s="221"/>
      <c r="D198" s="78"/>
      <c r="E198" s="78"/>
      <c r="F198" s="110"/>
      <c r="G198" s="127"/>
      <c r="H198" s="40"/>
      <c r="I198" s="41"/>
      <c r="J198" s="41"/>
      <c r="K198" s="41"/>
      <c r="L198" s="41"/>
      <c r="M198" s="41"/>
      <c r="N198" s="41"/>
      <c r="O198" s="42"/>
      <c r="P198" s="145"/>
      <c r="Q198" s="168"/>
      <c r="R198" s="140"/>
      <c r="S198" s="140"/>
      <c r="T198" s="140"/>
      <c r="U198" s="140"/>
      <c r="V198" s="140"/>
      <c r="W198" s="146"/>
      <c r="X198" s="49"/>
      <c r="Y198" s="50"/>
      <c r="Z198" s="50"/>
      <c r="AA198" s="50"/>
      <c r="AB198" s="50"/>
      <c r="AC198" s="51"/>
      <c r="AD198" s="51"/>
      <c r="AE198" s="53"/>
      <c r="AF198" s="77"/>
      <c r="AG198" s="166"/>
      <c r="AH198" s="166"/>
      <c r="AI198" s="166"/>
      <c r="AJ198" s="166"/>
      <c r="AK198" s="78"/>
      <c r="AL198" s="127"/>
      <c r="AM198" s="128"/>
      <c r="AN198" s="150"/>
      <c r="AO198" s="153"/>
      <c r="AP198" s="154"/>
      <c r="AQ198" s="154"/>
      <c r="AR198" s="154"/>
      <c r="AS198" s="150"/>
      <c r="AT198" s="155"/>
      <c r="AY198" s="219"/>
      <c r="AZ198" s="219"/>
      <c r="BA198" s="219"/>
      <c r="BB198" s="219"/>
    </row>
    <row r="199" spans="1:54" ht="15.6" customHeight="1">
      <c r="A199" s="129">
        <v>1</v>
      </c>
      <c r="B199" s="80" t="s">
        <v>122</v>
      </c>
      <c r="C199" s="80" t="s">
        <v>123</v>
      </c>
      <c r="D199" s="85" t="s">
        <v>162</v>
      </c>
      <c r="E199" s="82" t="s">
        <v>19</v>
      </c>
      <c r="F199" s="81" t="s">
        <v>124</v>
      </c>
      <c r="G199" s="165"/>
      <c r="H199" s="16">
        <f>APRIL!AL7</f>
        <v>25</v>
      </c>
      <c r="I199" s="17">
        <f>APRIL!AM7</f>
        <v>0</v>
      </c>
      <c r="J199" s="17">
        <f>APRIL!AN7</f>
        <v>0</v>
      </c>
      <c r="K199" s="17">
        <f>APRIL!AO7</f>
        <v>0</v>
      </c>
      <c r="L199" s="17">
        <f>APRIL!AP7</f>
        <v>0</v>
      </c>
      <c r="M199" s="17">
        <f>APRIL!AQ7</f>
        <v>0</v>
      </c>
      <c r="N199" s="17">
        <f>APRIL!AR7</f>
        <v>0</v>
      </c>
      <c r="O199" s="17">
        <f>APRIL!AS7</f>
        <v>0</v>
      </c>
      <c r="P199" s="22">
        <f>APRIL!AL70</f>
        <v>25</v>
      </c>
      <c r="Q199" s="23">
        <f>APRIL!AM70</f>
        <v>0</v>
      </c>
      <c r="R199" s="23">
        <f>APRIL!AN70</f>
        <v>0</v>
      </c>
      <c r="S199" s="23">
        <f>APRIL!AO70</f>
        <v>0</v>
      </c>
      <c r="T199" s="23">
        <f>APRIL!AQ70</f>
        <v>0</v>
      </c>
      <c r="U199" s="23">
        <f>APRIL!AP70</f>
        <v>0</v>
      </c>
      <c r="V199" s="23">
        <f>APRIL!AR70</f>
        <v>0</v>
      </c>
      <c r="W199" s="23">
        <f>APRIL!AS70</f>
        <v>0</v>
      </c>
      <c r="X199" s="28">
        <f>APRIL!AL134</f>
        <v>25</v>
      </c>
      <c r="Y199" s="29">
        <f>APRIL!AM134</f>
        <v>0</v>
      </c>
      <c r="Z199" s="29">
        <f>APRIL!AN134</f>
        <v>0</v>
      </c>
      <c r="AA199" s="29"/>
      <c r="AB199" s="29"/>
      <c r="AC199" s="37"/>
      <c r="AD199" s="37"/>
      <c r="AE199" s="148"/>
      <c r="AF199" s="129"/>
      <c r="AG199" s="159"/>
      <c r="AH199" s="79">
        <f t="shared" ref="AH199:AH248" si="48">R199+Z199</f>
        <v>0</v>
      </c>
      <c r="AI199" s="79"/>
      <c r="AJ199" s="79"/>
      <c r="AK199" s="79"/>
      <c r="AL199" s="79"/>
      <c r="AM199" s="130"/>
      <c r="AN199" s="130"/>
      <c r="AO199" s="151"/>
      <c r="AP199" s="152"/>
      <c r="AQ199" s="152"/>
      <c r="AR199" s="152"/>
      <c r="AS199" s="130"/>
      <c r="AT199" s="149"/>
      <c r="AY199" s="217"/>
      <c r="AZ199" s="217"/>
      <c r="BA199" s="217"/>
      <c r="BB199" s="217"/>
    </row>
    <row r="200" spans="1:54" ht="15.6" customHeight="1">
      <c r="A200" s="132">
        <v>2</v>
      </c>
      <c r="B200" s="81" t="s">
        <v>96</v>
      </c>
      <c r="C200" s="81" t="s">
        <v>20</v>
      </c>
      <c r="D200" s="85" t="s">
        <v>36</v>
      </c>
      <c r="E200" s="86" t="s">
        <v>19</v>
      </c>
      <c r="F200" s="81" t="s">
        <v>21</v>
      </c>
      <c r="G200" s="165"/>
      <c r="H200" s="16">
        <f>APRIL!AL8</f>
        <v>25</v>
      </c>
      <c r="I200" s="17">
        <f>APRIL!AM8</f>
        <v>0</v>
      </c>
      <c r="J200" s="17">
        <f>APRIL!AN8</f>
        <v>0</v>
      </c>
      <c r="K200" s="17">
        <f>APRIL!AO8</f>
        <v>0</v>
      </c>
      <c r="L200" s="17">
        <f>APRIL!AP8</f>
        <v>0</v>
      </c>
      <c r="M200" s="17">
        <f>APRIL!AQ8</f>
        <v>0</v>
      </c>
      <c r="N200" s="17">
        <f>APRIL!AR8</f>
        <v>0</v>
      </c>
      <c r="O200" s="17">
        <f>APRIL!AS8</f>
        <v>0</v>
      </c>
      <c r="P200" s="22">
        <f>APRIL!AL71</f>
        <v>23</v>
      </c>
      <c r="Q200" s="23">
        <f>APRIL!AM71</f>
        <v>0</v>
      </c>
      <c r="R200" s="23">
        <f>APRIL!AN71</f>
        <v>2</v>
      </c>
      <c r="S200" s="23">
        <f>APRIL!AO71</f>
        <v>0</v>
      </c>
      <c r="T200" s="23">
        <f>APRIL!AQ71</f>
        <v>0</v>
      </c>
      <c r="U200" s="23">
        <f>APRIL!AP71</f>
        <v>0</v>
      </c>
      <c r="V200" s="23">
        <f>APRIL!AR71</f>
        <v>0</v>
      </c>
      <c r="W200" s="23">
        <f>APRIL!AS71</f>
        <v>0</v>
      </c>
      <c r="X200" s="28">
        <f>APRIL!AL135</f>
        <v>24</v>
      </c>
      <c r="Y200" s="29">
        <f>APRIL!AM135</f>
        <v>0</v>
      </c>
      <c r="Z200" s="29">
        <f>APRIL!AN135</f>
        <v>0</v>
      </c>
      <c r="AA200" s="29"/>
      <c r="AB200" s="29"/>
      <c r="AC200" s="37"/>
      <c r="AD200" s="37"/>
      <c r="AE200" s="148"/>
      <c r="AF200" s="132"/>
      <c r="AG200" s="160"/>
      <c r="AH200" s="85">
        <f t="shared" si="48"/>
        <v>2</v>
      </c>
      <c r="AI200" s="85"/>
      <c r="AJ200" s="85"/>
      <c r="AK200" s="85"/>
      <c r="AL200" s="85"/>
      <c r="AM200" s="131"/>
      <c r="AN200" s="133"/>
      <c r="AO200" s="151"/>
      <c r="AP200" s="152"/>
      <c r="AQ200" s="152"/>
      <c r="AR200" s="152"/>
      <c r="AS200" s="130"/>
      <c r="AT200" s="149"/>
      <c r="AY200" s="218"/>
      <c r="AZ200" s="218"/>
      <c r="BA200" s="218"/>
      <c r="BB200" s="218"/>
    </row>
    <row r="201" spans="1:54" ht="15.6" customHeight="1">
      <c r="A201" s="129">
        <v>3</v>
      </c>
      <c r="B201" s="81" t="s">
        <v>26</v>
      </c>
      <c r="C201" s="81" t="s">
        <v>27</v>
      </c>
      <c r="D201" s="85" t="s">
        <v>90</v>
      </c>
      <c r="E201" s="86" t="s">
        <v>24</v>
      </c>
      <c r="F201" s="81" t="s">
        <v>25</v>
      </c>
      <c r="G201" s="165"/>
      <c r="H201" s="16">
        <f>APRIL!AL9</f>
        <v>24</v>
      </c>
      <c r="I201" s="17">
        <f>APRIL!AM9</f>
        <v>0</v>
      </c>
      <c r="J201" s="17">
        <f>APRIL!AN9</f>
        <v>1</v>
      </c>
      <c r="K201" s="17">
        <f>APRIL!AO9</f>
        <v>0</v>
      </c>
      <c r="L201" s="17">
        <f>APRIL!AP9</f>
        <v>0</v>
      </c>
      <c r="M201" s="17">
        <f>APRIL!AQ9</f>
        <v>0</v>
      </c>
      <c r="N201" s="17">
        <f>APRIL!AR9</f>
        <v>0</v>
      </c>
      <c r="O201" s="17">
        <f>APRIL!AS9</f>
        <v>0</v>
      </c>
      <c r="P201" s="22">
        <f>APRIL!AL72</f>
        <v>24</v>
      </c>
      <c r="Q201" s="23">
        <f>APRIL!AM72</f>
        <v>0</v>
      </c>
      <c r="R201" s="23">
        <f>APRIL!AN72</f>
        <v>0</v>
      </c>
      <c r="S201" s="23">
        <f>APRIL!AO72</f>
        <v>0</v>
      </c>
      <c r="T201" s="23">
        <f>APRIL!AQ72</f>
        <v>0</v>
      </c>
      <c r="U201" s="23">
        <f>APRIL!AP72</f>
        <v>0</v>
      </c>
      <c r="V201" s="23">
        <f>APRIL!AR72</f>
        <v>0</v>
      </c>
      <c r="W201" s="23">
        <f>APRIL!AS72</f>
        <v>0</v>
      </c>
      <c r="X201" s="28">
        <f>APRIL!AL136</f>
        <v>23</v>
      </c>
      <c r="Y201" s="29">
        <f>APRIL!AM136</f>
        <v>0</v>
      </c>
      <c r="Z201" s="29">
        <f>APRIL!AN136</f>
        <v>1</v>
      </c>
      <c r="AA201" s="29"/>
      <c r="AB201" s="29"/>
      <c r="AC201" s="37"/>
      <c r="AD201" s="37"/>
      <c r="AE201" s="148"/>
      <c r="AF201" s="132"/>
      <c r="AG201" s="160"/>
      <c r="AH201" s="85">
        <f t="shared" si="48"/>
        <v>1</v>
      </c>
      <c r="AI201" s="85"/>
      <c r="AJ201" s="85"/>
      <c r="AK201" s="85"/>
      <c r="AL201" s="85"/>
      <c r="AM201" s="131"/>
      <c r="AN201" s="133"/>
      <c r="AO201" s="151"/>
      <c r="AP201" s="152"/>
      <c r="AQ201" s="152"/>
      <c r="AR201" s="152"/>
      <c r="AS201" s="130"/>
      <c r="AT201" s="149"/>
      <c r="AY201" s="218"/>
      <c r="AZ201" s="218"/>
      <c r="BA201" s="218"/>
      <c r="BB201" s="218"/>
    </row>
    <row r="202" spans="1:54" ht="15.6" customHeight="1">
      <c r="A202" s="132">
        <v>4</v>
      </c>
      <c r="B202" s="81" t="s">
        <v>22</v>
      </c>
      <c r="C202" s="81" t="s">
        <v>23</v>
      </c>
      <c r="D202" s="85" t="s">
        <v>90</v>
      </c>
      <c r="E202" s="86" t="s">
        <v>24</v>
      </c>
      <c r="F202" s="81" t="s">
        <v>25</v>
      </c>
      <c r="G202" s="165"/>
      <c r="H202" s="16">
        <f>APRIL!AL10</f>
        <v>24</v>
      </c>
      <c r="I202" s="17">
        <f>APRIL!AM10</f>
        <v>1</v>
      </c>
      <c r="J202" s="17">
        <f>APRIL!AN10</f>
        <v>0</v>
      </c>
      <c r="K202" s="17">
        <f>APRIL!AO10</f>
        <v>0</v>
      </c>
      <c r="L202" s="17">
        <f>APRIL!AP10</f>
        <v>0</v>
      </c>
      <c r="M202" s="17">
        <f>APRIL!AQ10</f>
        <v>0</v>
      </c>
      <c r="N202" s="17">
        <f>APRIL!AR10</f>
        <v>0</v>
      </c>
      <c r="O202" s="17">
        <f>APRIL!AS10</f>
        <v>0</v>
      </c>
      <c r="P202" s="22">
        <f>APRIL!AL73</f>
        <v>24</v>
      </c>
      <c r="Q202" s="23">
        <f>APRIL!AM73</f>
        <v>0</v>
      </c>
      <c r="R202" s="23">
        <f>APRIL!AN73</f>
        <v>0</v>
      </c>
      <c r="S202" s="23">
        <f>APRIL!AO73</f>
        <v>0</v>
      </c>
      <c r="T202" s="23">
        <f>APRIL!AQ73</f>
        <v>0</v>
      </c>
      <c r="U202" s="23">
        <f>APRIL!AP73</f>
        <v>0</v>
      </c>
      <c r="V202" s="23">
        <f>APRIL!AR73</f>
        <v>0</v>
      </c>
      <c r="W202" s="23">
        <f>APRIL!AS73</f>
        <v>0</v>
      </c>
      <c r="X202" s="28">
        <f>APRIL!AL137</f>
        <v>18</v>
      </c>
      <c r="Y202" s="29">
        <f>APRIL!AM137</f>
        <v>0</v>
      </c>
      <c r="Z202" s="29">
        <f>APRIL!AN137</f>
        <v>6</v>
      </c>
      <c r="AA202" s="29"/>
      <c r="AB202" s="29"/>
      <c r="AC202" s="37"/>
      <c r="AD202" s="37"/>
      <c r="AE202" s="148"/>
      <c r="AF202" s="132"/>
      <c r="AG202" s="160"/>
      <c r="AH202" s="85">
        <f t="shared" si="48"/>
        <v>6</v>
      </c>
      <c r="AI202" s="85"/>
      <c r="AJ202" s="85"/>
      <c r="AK202" s="85"/>
      <c r="AL202" s="85"/>
      <c r="AM202" s="131"/>
      <c r="AN202" s="133"/>
      <c r="AO202" s="151"/>
      <c r="AP202" s="152"/>
      <c r="AQ202" s="152"/>
      <c r="AR202" s="152"/>
      <c r="AS202" s="130"/>
      <c r="AT202" s="149"/>
      <c r="AY202" s="218"/>
      <c r="AZ202" s="218"/>
      <c r="BA202" s="218"/>
      <c r="BB202" s="218"/>
    </row>
    <row r="203" spans="1:54" ht="15.6" customHeight="1">
      <c r="A203" s="129">
        <v>5</v>
      </c>
      <c r="B203" s="81" t="s">
        <v>28</v>
      </c>
      <c r="C203" s="81" t="s">
        <v>29</v>
      </c>
      <c r="D203" s="85" t="s">
        <v>121</v>
      </c>
      <c r="E203" s="86" t="s">
        <v>24</v>
      </c>
      <c r="F203" s="81" t="s">
        <v>181</v>
      </c>
      <c r="G203" s="165"/>
      <c r="H203" s="16">
        <f>APRIL!AL11</f>
        <v>22</v>
      </c>
      <c r="I203" s="17">
        <f>APRIL!AM11</f>
        <v>0</v>
      </c>
      <c r="J203" s="17">
        <f>APRIL!AN11</f>
        <v>1</v>
      </c>
      <c r="K203" s="17">
        <f>APRIL!AO11</f>
        <v>0</v>
      </c>
      <c r="L203" s="17">
        <f>APRIL!AP11</f>
        <v>2</v>
      </c>
      <c r="M203" s="17">
        <f>APRIL!AQ11</f>
        <v>0</v>
      </c>
      <c r="N203" s="17">
        <f>APRIL!AR11</f>
        <v>0</v>
      </c>
      <c r="O203" s="17">
        <f>APRIL!AS11</f>
        <v>0</v>
      </c>
      <c r="P203" s="22">
        <f>APRIL!AL74</f>
        <v>21</v>
      </c>
      <c r="Q203" s="23">
        <f>APRIL!AM74</f>
        <v>0</v>
      </c>
      <c r="R203" s="23">
        <f>APRIL!AN74</f>
        <v>1</v>
      </c>
      <c r="S203" s="23">
        <f>APRIL!AO74</f>
        <v>0</v>
      </c>
      <c r="T203" s="23">
        <f>APRIL!AQ74</f>
        <v>2</v>
      </c>
      <c r="U203" s="23">
        <f>APRIL!AP74</f>
        <v>0</v>
      </c>
      <c r="V203" s="23">
        <f>APRIL!AR74</f>
        <v>0</v>
      </c>
      <c r="W203" s="23">
        <f>APRIL!AS74</f>
        <v>0</v>
      </c>
      <c r="X203" s="28">
        <f>APRIL!AL138</f>
        <v>21</v>
      </c>
      <c r="Y203" s="29">
        <f>APRIL!AM138</f>
        <v>0</v>
      </c>
      <c r="Z203" s="29">
        <f>APRIL!AN138</f>
        <v>1</v>
      </c>
      <c r="AA203" s="29"/>
      <c r="AB203" s="29"/>
      <c r="AC203" s="37"/>
      <c r="AD203" s="37"/>
      <c r="AE203" s="148"/>
      <c r="AF203" s="132"/>
      <c r="AG203" s="160"/>
      <c r="AH203" s="85">
        <f t="shared" si="48"/>
        <v>2</v>
      </c>
      <c r="AI203" s="85"/>
      <c r="AJ203" s="85"/>
      <c r="AK203" s="85"/>
      <c r="AL203" s="85"/>
      <c r="AM203" s="131"/>
      <c r="AN203" s="133"/>
      <c r="AO203" s="151"/>
      <c r="AP203" s="152"/>
      <c r="AQ203" s="152"/>
      <c r="AR203" s="152"/>
      <c r="AS203" s="130"/>
      <c r="AT203" s="149"/>
      <c r="AY203" s="218"/>
      <c r="AZ203" s="218"/>
      <c r="BA203" s="218"/>
      <c r="BB203" s="218"/>
    </row>
    <row r="204" spans="1:54" ht="15.6" customHeight="1">
      <c r="A204" s="132">
        <v>6</v>
      </c>
      <c r="B204" s="81" t="s">
        <v>30</v>
      </c>
      <c r="C204" s="81" t="s">
        <v>31</v>
      </c>
      <c r="D204" s="85" t="s">
        <v>36</v>
      </c>
      <c r="E204" s="86" t="s">
        <v>24</v>
      </c>
      <c r="F204" s="81" t="s">
        <v>91</v>
      </c>
      <c r="G204" s="165"/>
      <c r="H204" s="16">
        <f>APRIL!AL12</f>
        <v>12</v>
      </c>
      <c r="I204" s="17">
        <f>APRIL!AM12</f>
        <v>1</v>
      </c>
      <c r="J204" s="17">
        <f>APRIL!AN12</f>
        <v>0</v>
      </c>
      <c r="K204" s="17">
        <f>APRIL!AO12</f>
        <v>12</v>
      </c>
      <c r="L204" s="17">
        <f>APRIL!AP12</f>
        <v>0</v>
      </c>
      <c r="M204" s="17">
        <f>APRIL!AQ12</f>
        <v>0</v>
      </c>
      <c r="N204" s="17">
        <f>APRIL!AR12</f>
        <v>0</v>
      </c>
      <c r="O204" s="17">
        <f>APRIL!AS12</f>
        <v>0</v>
      </c>
      <c r="P204" s="22">
        <f>APRIL!AL75</f>
        <v>12</v>
      </c>
      <c r="Q204" s="23">
        <f>APRIL!AM75</f>
        <v>0</v>
      </c>
      <c r="R204" s="23">
        <f>APRIL!AN75</f>
        <v>0</v>
      </c>
      <c r="S204" s="23">
        <f>APRIL!AO75</f>
        <v>12</v>
      </c>
      <c r="T204" s="23">
        <f>APRIL!AQ75</f>
        <v>0</v>
      </c>
      <c r="U204" s="23">
        <f>APRIL!AP75</f>
        <v>0</v>
      </c>
      <c r="V204" s="23">
        <f>APRIL!AR75</f>
        <v>0</v>
      </c>
      <c r="W204" s="23">
        <f>APRIL!AS75</f>
        <v>0</v>
      </c>
      <c r="X204" s="28">
        <f>APRIL!AL139</f>
        <v>12</v>
      </c>
      <c r="Y204" s="29">
        <f>APRIL!AM139</f>
        <v>0</v>
      </c>
      <c r="Z204" s="29">
        <f>APRIL!AN139</f>
        <v>0</v>
      </c>
      <c r="AA204" s="29"/>
      <c r="AB204" s="29"/>
      <c r="AC204" s="37"/>
      <c r="AD204" s="37"/>
      <c r="AE204" s="148"/>
      <c r="AF204" s="132"/>
      <c r="AG204" s="160"/>
      <c r="AH204" s="85">
        <f t="shared" si="48"/>
        <v>0</v>
      </c>
      <c r="AI204" s="85"/>
      <c r="AJ204" s="85"/>
      <c r="AK204" s="85"/>
      <c r="AL204" s="85"/>
      <c r="AM204" s="131"/>
      <c r="AN204" s="133"/>
      <c r="AO204" s="151"/>
      <c r="AP204" s="152"/>
      <c r="AQ204" s="152"/>
      <c r="AR204" s="152"/>
      <c r="AS204" s="130"/>
      <c r="AT204" s="149"/>
      <c r="AY204" s="218"/>
      <c r="AZ204" s="218"/>
      <c r="BA204" s="218"/>
      <c r="BB204" s="218"/>
    </row>
    <row r="205" spans="1:54" ht="15.6" customHeight="1">
      <c r="A205" s="129">
        <v>7</v>
      </c>
      <c r="B205" s="81" t="s">
        <v>32</v>
      </c>
      <c r="C205" s="81" t="s">
        <v>33</v>
      </c>
      <c r="D205" s="85" t="s">
        <v>18</v>
      </c>
      <c r="E205" s="86" t="s">
        <v>24</v>
      </c>
      <c r="F205" s="81" t="s">
        <v>182</v>
      </c>
      <c r="G205" s="165"/>
      <c r="H205" s="16">
        <f>APRIL!AL13</f>
        <v>25</v>
      </c>
      <c r="I205" s="17">
        <f>APRIL!AM13</f>
        <v>0</v>
      </c>
      <c r="J205" s="17">
        <f>APRIL!AN13</f>
        <v>0</v>
      </c>
      <c r="K205" s="17">
        <f>APRIL!AO13</f>
        <v>0</v>
      </c>
      <c r="L205" s="17">
        <f>APRIL!AP13</f>
        <v>0</v>
      </c>
      <c r="M205" s="17">
        <f>APRIL!AQ13</f>
        <v>0</v>
      </c>
      <c r="N205" s="17">
        <f>APRIL!AR13</f>
        <v>0</v>
      </c>
      <c r="O205" s="17">
        <f>APRIL!AS13</f>
        <v>0</v>
      </c>
      <c r="P205" s="22">
        <f>APRIL!AL76</f>
        <v>25</v>
      </c>
      <c r="Q205" s="23">
        <f>APRIL!AM76</f>
        <v>0</v>
      </c>
      <c r="R205" s="23">
        <f>APRIL!AN76</f>
        <v>0</v>
      </c>
      <c r="S205" s="23">
        <f>APRIL!AO76</f>
        <v>0</v>
      </c>
      <c r="T205" s="23">
        <f>APRIL!AQ76</f>
        <v>0</v>
      </c>
      <c r="U205" s="23">
        <f>APRIL!AP76</f>
        <v>0</v>
      </c>
      <c r="V205" s="23">
        <f>APRIL!AR76</f>
        <v>0</v>
      </c>
      <c r="W205" s="23">
        <f>APRIL!AS76</f>
        <v>0</v>
      </c>
      <c r="X205" s="28">
        <f>APRIL!AL140</f>
        <v>25</v>
      </c>
      <c r="Y205" s="29">
        <f>APRIL!AM140</f>
        <v>0</v>
      </c>
      <c r="Z205" s="29">
        <f>APRIL!AN140</f>
        <v>0</v>
      </c>
      <c r="AA205" s="29"/>
      <c r="AB205" s="29"/>
      <c r="AC205" s="37"/>
      <c r="AD205" s="37"/>
      <c r="AE205" s="148"/>
      <c r="AF205" s="132"/>
      <c r="AG205" s="160"/>
      <c r="AH205" s="85">
        <f t="shared" si="48"/>
        <v>0</v>
      </c>
      <c r="AI205" s="85"/>
      <c r="AJ205" s="85"/>
      <c r="AK205" s="85"/>
      <c r="AL205" s="85"/>
      <c r="AM205" s="131"/>
      <c r="AN205" s="133"/>
      <c r="AO205" s="151"/>
      <c r="AP205" s="152"/>
      <c r="AQ205" s="152"/>
      <c r="AR205" s="152"/>
      <c r="AS205" s="130"/>
      <c r="AT205" s="149"/>
      <c r="AY205" s="218"/>
      <c r="AZ205" s="218"/>
      <c r="BA205" s="218"/>
      <c r="BB205" s="218"/>
    </row>
    <row r="206" spans="1:54" ht="15.6" customHeight="1">
      <c r="A206" s="132">
        <v>8</v>
      </c>
      <c r="B206" s="81" t="s">
        <v>34</v>
      </c>
      <c r="C206" s="81" t="s">
        <v>35</v>
      </c>
      <c r="D206" s="85" t="s">
        <v>18</v>
      </c>
      <c r="E206" s="86" t="s">
        <v>24</v>
      </c>
      <c r="F206" s="81" t="s">
        <v>95</v>
      </c>
      <c r="G206" s="165"/>
      <c r="H206" s="16">
        <f>APRIL!AL14</f>
        <v>21</v>
      </c>
      <c r="I206" s="17">
        <f>APRIL!AM14</f>
        <v>4</v>
      </c>
      <c r="J206" s="17">
        <f>APRIL!AN14</f>
        <v>0</v>
      </c>
      <c r="K206" s="17">
        <f>APRIL!AO14</f>
        <v>0</v>
      </c>
      <c r="L206" s="17">
        <f>APRIL!AP14</f>
        <v>0</v>
      </c>
      <c r="M206" s="17">
        <f>APRIL!AQ14</f>
        <v>0</v>
      </c>
      <c r="N206" s="17">
        <f>APRIL!AR14</f>
        <v>0</v>
      </c>
      <c r="O206" s="17">
        <f>APRIL!AS14</f>
        <v>0</v>
      </c>
      <c r="P206" s="22">
        <f>APRIL!AL77</f>
        <v>19</v>
      </c>
      <c r="Q206" s="23">
        <f>APRIL!AM77</f>
        <v>0</v>
      </c>
      <c r="R206" s="23">
        <f>APRIL!AN77</f>
        <v>2</v>
      </c>
      <c r="S206" s="23">
        <f>APRIL!AO77</f>
        <v>0</v>
      </c>
      <c r="T206" s="23">
        <f>APRIL!AQ77</f>
        <v>0</v>
      </c>
      <c r="U206" s="23">
        <f>APRIL!AP77</f>
        <v>0</v>
      </c>
      <c r="V206" s="23">
        <f>APRIL!AR77</f>
        <v>0</v>
      </c>
      <c r="W206" s="23">
        <f>APRIL!AS77</f>
        <v>0</v>
      </c>
      <c r="X206" s="28">
        <f>APRIL!AL141</f>
        <v>21</v>
      </c>
      <c r="Y206" s="29">
        <f>APRIL!AM141</f>
        <v>0</v>
      </c>
      <c r="Z206" s="29">
        <f>APRIL!AN141</f>
        <v>0</v>
      </c>
      <c r="AA206" s="29"/>
      <c r="AB206" s="29"/>
      <c r="AC206" s="37"/>
      <c r="AD206" s="37"/>
      <c r="AE206" s="148"/>
      <c r="AF206" s="132"/>
      <c r="AG206" s="160"/>
      <c r="AH206" s="85">
        <f t="shared" si="48"/>
        <v>2</v>
      </c>
      <c r="AI206" s="85"/>
      <c r="AJ206" s="85"/>
      <c r="AK206" s="85"/>
      <c r="AL206" s="85"/>
      <c r="AM206" s="131"/>
      <c r="AN206" s="133"/>
      <c r="AO206" s="151"/>
      <c r="AP206" s="152"/>
      <c r="AQ206" s="152"/>
      <c r="AR206" s="152"/>
      <c r="AS206" s="130"/>
      <c r="AT206" s="149"/>
      <c r="AY206" s="218"/>
      <c r="AZ206" s="218"/>
      <c r="BA206" s="218"/>
      <c r="BB206" s="218"/>
    </row>
    <row r="207" spans="1:54" ht="15.6" customHeight="1">
      <c r="A207" s="129">
        <v>9</v>
      </c>
      <c r="B207" s="81" t="s">
        <v>39</v>
      </c>
      <c r="C207" s="81" t="s">
        <v>40</v>
      </c>
      <c r="D207" s="85" t="s">
        <v>18</v>
      </c>
      <c r="E207" s="86" t="s">
        <v>24</v>
      </c>
      <c r="F207" s="81" t="s">
        <v>38</v>
      </c>
      <c r="G207" s="165"/>
      <c r="H207" s="16">
        <f>APRIL!AL15</f>
        <v>23</v>
      </c>
      <c r="I207" s="17">
        <f>APRIL!AM15</f>
        <v>0</v>
      </c>
      <c r="J207" s="17">
        <f>APRIL!AN15</f>
        <v>0</v>
      </c>
      <c r="K207" s="17">
        <f>APRIL!AO15</f>
        <v>0</v>
      </c>
      <c r="L207" s="17">
        <f>APRIL!AP15</f>
        <v>2</v>
      </c>
      <c r="M207" s="17">
        <f>APRIL!AQ15</f>
        <v>0</v>
      </c>
      <c r="N207" s="17">
        <f>APRIL!AR15</f>
        <v>0</v>
      </c>
      <c r="O207" s="17">
        <f>APRIL!AS15</f>
        <v>0</v>
      </c>
      <c r="P207" s="22">
        <f>APRIL!AL78</f>
        <v>23</v>
      </c>
      <c r="Q207" s="23">
        <f>APRIL!AM78</f>
        <v>0</v>
      </c>
      <c r="R207" s="23">
        <f>APRIL!AN78</f>
        <v>0</v>
      </c>
      <c r="S207" s="23">
        <f>APRIL!AO78</f>
        <v>0</v>
      </c>
      <c r="T207" s="23">
        <f>APRIL!AQ78</f>
        <v>2</v>
      </c>
      <c r="U207" s="23">
        <f>APRIL!AP78</f>
        <v>0</v>
      </c>
      <c r="V207" s="23">
        <f>APRIL!AR78</f>
        <v>0</v>
      </c>
      <c r="W207" s="23">
        <f>APRIL!AS78</f>
        <v>0</v>
      </c>
      <c r="X207" s="28">
        <f>APRIL!AL142</f>
        <v>23</v>
      </c>
      <c r="Y207" s="29">
        <f>APRIL!AM142</f>
        <v>0</v>
      </c>
      <c r="Z207" s="29">
        <f>APRIL!AN142</f>
        <v>0</v>
      </c>
      <c r="AA207" s="29"/>
      <c r="AB207" s="29"/>
      <c r="AC207" s="37"/>
      <c r="AD207" s="37"/>
      <c r="AE207" s="148"/>
      <c r="AF207" s="132"/>
      <c r="AG207" s="160"/>
      <c r="AH207" s="85">
        <f t="shared" si="48"/>
        <v>0</v>
      </c>
      <c r="AI207" s="85"/>
      <c r="AJ207" s="85"/>
      <c r="AK207" s="85"/>
      <c r="AL207" s="85"/>
      <c r="AM207" s="131"/>
      <c r="AN207" s="133"/>
      <c r="AO207" s="151"/>
      <c r="AP207" s="152"/>
      <c r="AQ207" s="152"/>
      <c r="AR207" s="152"/>
      <c r="AS207" s="130"/>
      <c r="AT207" s="149"/>
      <c r="AY207" s="218"/>
      <c r="AZ207" s="218"/>
      <c r="BA207" s="218"/>
      <c r="BB207" s="218"/>
    </row>
    <row r="208" spans="1:54" ht="15.6" customHeight="1">
      <c r="A208" s="132">
        <v>10</v>
      </c>
      <c r="B208" s="81" t="s">
        <v>97</v>
      </c>
      <c r="C208" s="81" t="s">
        <v>37</v>
      </c>
      <c r="D208" s="85" t="s">
        <v>18</v>
      </c>
      <c r="E208" s="86" t="s">
        <v>24</v>
      </c>
      <c r="F208" s="81" t="s">
        <v>161</v>
      </c>
      <c r="G208" s="165"/>
      <c r="H208" s="16">
        <f>APRIL!AL16</f>
        <v>25</v>
      </c>
      <c r="I208" s="17">
        <f>APRIL!AM16</f>
        <v>0</v>
      </c>
      <c r="J208" s="17">
        <f>APRIL!AN16</f>
        <v>0</v>
      </c>
      <c r="K208" s="17">
        <f>APRIL!AO16</f>
        <v>0</v>
      </c>
      <c r="L208" s="17">
        <f>APRIL!AP16</f>
        <v>0</v>
      </c>
      <c r="M208" s="17">
        <f>APRIL!AQ16</f>
        <v>0</v>
      </c>
      <c r="N208" s="17">
        <f>APRIL!AR16</f>
        <v>0</v>
      </c>
      <c r="O208" s="17">
        <f>APRIL!AS16</f>
        <v>0</v>
      </c>
      <c r="P208" s="22">
        <f>APRIL!AL79</f>
        <v>25</v>
      </c>
      <c r="Q208" s="23">
        <f>APRIL!AM79</f>
        <v>0</v>
      </c>
      <c r="R208" s="23">
        <f>APRIL!AN79</f>
        <v>0</v>
      </c>
      <c r="S208" s="23">
        <f>APRIL!AO79</f>
        <v>0</v>
      </c>
      <c r="T208" s="23">
        <f>APRIL!AQ79</f>
        <v>0</v>
      </c>
      <c r="U208" s="23">
        <f>APRIL!AP79</f>
        <v>0</v>
      </c>
      <c r="V208" s="23">
        <f>APRIL!AR79</f>
        <v>0</v>
      </c>
      <c r="W208" s="23">
        <f>APRIL!AS79</f>
        <v>0</v>
      </c>
      <c r="X208" s="28">
        <f>APRIL!AL143</f>
        <v>25</v>
      </c>
      <c r="Y208" s="29">
        <f>APRIL!AM143</f>
        <v>0</v>
      </c>
      <c r="Z208" s="29">
        <f>APRIL!AN143</f>
        <v>0</v>
      </c>
      <c r="AA208" s="29"/>
      <c r="AB208" s="29"/>
      <c r="AC208" s="37"/>
      <c r="AD208" s="37"/>
      <c r="AE208" s="148"/>
      <c r="AF208" s="132"/>
      <c r="AG208" s="160"/>
      <c r="AH208" s="85">
        <f t="shared" si="48"/>
        <v>0</v>
      </c>
      <c r="AI208" s="85"/>
      <c r="AJ208" s="85"/>
      <c r="AK208" s="85"/>
      <c r="AL208" s="85"/>
      <c r="AM208" s="131"/>
      <c r="AN208" s="133"/>
      <c r="AO208" s="151"/>
      <c r="AP208" s="152"/>
      <c r="AQ208" s="152"/>
      <c r="AR208" s="152"/>
      <c r="AS208" s="130"/>
      <c r="AT208" s="149"/>
      <c r="AY208" s="218"/>
      <c r="AZ208" s="218"/>
      <c r="BA208" s="218"/>
      <c r="BB208" s="218"/>
    </row>
    <row r="209" spans="1:54" ht="15.6" customHeight="1">
      <c r="A209" s="129">
        <v>11</v>
      </c>
      <c r="B209" s="81" t="s">
        <v>41</v>
      </c>
      <c r="C209" s="81" t="s">
        <v>42</v>
      </c>
      <c r="D209" s="85" t="s">
        <v>18</v>
      </c>
      <c r="E209" s="86" t="s">
        <v>24</v>
      </c>
      <c r="F209" s="81" t="s">
        <v>38</v>
      </c>
      <c r="G209" s="165"/>
      <c r="H209" s="16">
        <f>APRIL!AL17</f>
        <v>21</v>
      </c>
      <c r="I209" s="17">
        <f>APRIL!AM17</f>
        <v>0</v>
      </c>
      <c r="J209" s="17">
        <f>APRIL!AN17</f>
        <v>1</v>
      </c>
      <c r="K209" s="17">
        <f>APRIL!AO17</f>
        <v>0</v>
      </c>
      <c r="L209" s="17">
        <f>APRIL!AP17</f>
        <v>3</v>
      </c>
      <c r="M209" s="17">
        <f>APRIL!AQ17</f>
        <v>0</v>
      </c>
      <c r="N209" s="17">
        <f>APRIL!AR17</f>
        <v>0</v>
      </c>
      <c r="O209" s="17">
        <f>APRIL!AS17</f>
        <v>0</v>
      </c>
      <c r="P209" s="22">
        <f>APRIL!AL80</f>
        <v>21</v>
      </c>
      <c r="Q209" s="23">
        <f>APRIL!AM80</f>
        <v>0</v>
      </c>
      <c r="R209" s="23">
        <f>APRIL!AN80</f>
        <v>0</v>
      </c>
      <c r="S209" s="23">
        <f>APRIL!AO80</f>
        <v>0</v>
      </c>
      <c r="T209" s="23">
        <f>APRIL!AQ80</f>
        <v>3</v>
      </c>
      <c r="U209" s="23">
        <f>APRIL!AP80</f>
        <v>0</v>
      </c>
      <c r="V209" s="23">
        <f>APRIL!AR80</f>
        <v>0</v>
      </c>
      <c r="W209" s="23">
        <f>APRIL!AS80</f>
        <v>0</v>
      </c>
      <c r="X209" s="28">
        <f>APRIL!AL144</f>
        <v>21</v>
      </c>
      <c r="Y209" s="29">
        <f>APRIL!AM144</f>
        <v>0</v>
      </c>
      <c r="Z209" s="29">
        <f>APRIL!AN144</f>
        <v>0</v>
      </c>
      <c r="AA209" s="29"/>
      <c r="AB209" s="29"/>
      <c r="AC209" s="37"/>
      <c r="AD209" s="37"/>
      <c r="AE209" s="148"/>
      <c r="AF209" s="132"/>
      <c r="AG209" s="160"/>
      <c r="AH209" s="85">
        <f t="shared" si="48"/>
        <v>0</v>
      </c>
      <c r="AI209" s="85"/>
      <c r="AJ209" s="85"/>
      <c r="AK209" s="85"/>
      <c r="AL209" s="85"/>
      <c r="AM209" s="131"/>
      <c r="AN209" s="133"/>
      <c r="AO209" s="151"/>
      <c r="AP209" s="152"/>
      <c r="AQ209" s="152"/>
      <c r="AR209" s="152"/>
      <c r="AS209" s="130"/>
      <c r="AT209" s="149"/>
      <c r="AY209" s="218"/>
      <c r="AZ209" s="218"/>
      <c r="BA209" s="218"/>
      <c r="BB209" s="218"/>
    </row>
    <row r="210" spans="1:54" ht="15.6" customHeight="1">
      <c r="A210" s="132">
        <v>12</v>
      </c>
      <c r="B210" s="81" t="s">
        <v>43</v>
      </c>
      <c r="C210" s="81" t="s">
        <v>44</v>
      </c>
      <c r="D210" s="85" t="s">
        <v>18</v>
      </c>
      <c r="E210" s="86" t="s">
        <v>24</v>
      </c>
      <c r="F210" s="81" t="s">
        <v>38</v>
      </c>
      <c r="G210" s="165"/>
      <c r="H210" s="16">
        <f>APRIL!AL18</f>
        <v>24</v>
      </c>
      <c r="I210" s="17">
        <f>APRIL!AM18</f>
        <v>0</v>
      </c>
      <c r="J210" s="17">
        <f>APRIL!AN18</f>
        <v>0</v>
      </c>
      <c r="K210" s="17">
        <f>APRIL!AO18</f>
        <v>0</v>
      </c>
      <c r="L210" s="17">
        <f>APRIL!AP18</f>
        <v>1</v>
      </c>
      <c r="M210" s="17">
        <f>APRIL!AQ18</f>
        <v>0</v>
      </c>
      <c r="N210" s="17">
        <f>APRIL!AR18</f>
        <v>0</v>
      </c>
      <c r="O210" s="17">
        <f>APRIL!AS18</f>
        <v>0</v>
      </c>
      <c r="P210" s="22">
        <f>APRIL!AL81</f>
        <v>24</v>
      </c>
      <c r="Q210" s="23">
        <f>APRIL!AM81</f>
        <v>0</v>
      </c>
      <c r="R210" s="23">
        <f>APRIL!AN81</f>
        <v>0</v>
      </c>
      <c r="S210" s="23">
        <f>APRIL!AO81</f>
        <v>0</v>
      </c>
      <c r="T210" s="23">
        <f>APRIL!AQ81</f>
        <v>1</v>
      </c>
      <c r="U210" s="23">
        <f>APRIL!AP81</f>
        <v>0</v>
      </c>
      <c r="V210" s="23">
        <f>APRIL!AR81</f>
        <v>0</v>
      </c>
      <c r="W210" s="23">
        <f>APRIL!AS81</f>
        <v>0</v>
      </c>
      <c r="X210" s="28">
        <f>APRIL!AL145</f>
        <v>23</v>
      </c>
      <c r="Y210" s="29">
        <f>APRIL!AM145</f>
        <v>0</v>
      </c>
      <c r="Z210" s="29">
        <f>APRIL!AN145</f>
        <v>1</v>
      </c>
      <c r="AA210" s="29"/>
      <c r="AB210" s="29"/>
      <c r="AC210" s="37"/>
      <c r="AD210" s="37"/>
      <c r="AE210" s="148"/>
      <c r="AF210" s="132"/>
      <c r="AG210" s="160"/>
      <c r="AH210" s="85">
        <f t="shared" si="48"/>
        <v>1</v>
      </c>
      <c r="AI210" s="85"/>
      <c r="AJ210" s="85"/>
      <c r="AK210" s="85"/>
      <c r="AL210" s="85"/>
      <c r="AM210" s="131"/>
      <c r="AN210" s="133"/>
      <c r="AO210" s="151"/>
      <c r="AP210" s="152"/>
      <c r="AQ210" s="152"/>
      <c r="AR210" s="152"/>
      <c r="AS210" s="130"/>
      <c r="AT210" s="149"/>
      <c r="AY210" s="218"/>
      <c r="AZ210" s="218"/>
      <c r="BA210" s="218"/>
      <c r="BB210" s="218"/>
    </row>
    <row r="211" spans="1:54" ht="15.6" customHeight="1">
      <c r="A211" s="129">
        <v>13</v>
      </c>
      <c r="B211" s="81" t="s">
        <v>45</v>
      </c>
      <c r="C211" s="81" t="s">
        <v>46</v>
      </c>
      <c r="D211" s="85" t="s">
        <v>18</v>
      </c>
      <c r="E211" s="86" t="s">
        <v>24</v>
      </c>
      <c r="F211" s="81" t="s">
        <v>38</v>
      </c>
      <c r="G211" s="165"/>
      <c r="H211" s="16">
        <f>APRIL!AL19</f>
        <v>24</v>
      </c>
      <c r="I211" s="17">
        <f>APRIL!AM19</f>
        <v>1</v>
      </c>
      <c r="J211" s="17">
        <f>APRIL!AN19</f>
        <v>0</v>
      </c>
      <c r="K211" s="17">
        <f>APRIL!AO19</f>
        <v>0</v>
      </c>
      <c r="L211" s="17">
        <f>APRIL!AP19</f>
        <v>0</v>
      </c>
      <c r="M211" s="17">
        <f>APRIL!AQ19</f>
        <v>0</v>
      </c>
      <c r="N211" s="17">
        <f>APRIL!AR19</f>
        <v>0</v>
      </c>
      <c r="O211" s="17">
        <f>APRIL!AS19</f>
        <v>0</v>
      </c>
      <c r="P211" s="22">
        <f>APRIL!AL82</f>
        <v>24</v>
      </c>
      <c r="Q211" s="23">
        <f>APRIL!AM82</f>
        <v>0</v>
      </c>
      <c r="R211" s="23">
        <f>APRIL!AN82</f>
        <v>0</v>
      </c>
      <c r="S211" s="23">
        <f>APRIL!AO82</f>
        <v>0</v>
      </c>
      <c r="T211" s="23">
        <f>APRIL!AQ82</f>
        <v>0</v>
      </c>
      <c r="U211" s="23">
        <f>APRIL!AP82</f>
        <v>0</v>
      </c>
      <c r="V211" s="23">
        <f>APRIL!AR82</f>
        <v>0</v>
      </c>
      <c r="W211" s="23">
        <f>APRIL!AS82</f>
        <v>0</v>
      </c>
      <c r="X211" s="28">
        <f>APRIL!AL146</f>
        <v>24</v>
      </c>
      <c r="Y211" s="29">
        <f>APRIL!AM146</f>
        <v>0</v>
      </c>
      <c r="Z211" s="29">
        <f>APRIL!AN146</f>
        <v>0</v>
      </c>
      <c r="AA211" s="29"/>
      <c r="AB211" s="29"/>
      <c r="AC211" s="37"/>
      <c r="AD211" s="37"/>
      <c r="AE211" s="148"/>
      <c r="AF211" s="132"/>
      <c r="AG211" s="160"/>
      <c r="AH211" s="85">
        <f t="shared" si="48"/>
        <v>0</v>
      </c>
      <c r="AI211" s="85"/>
      <c r="AJ211" s="85"/>
      <c r="AK211" s="85"/>
      <c r="AL211" s="85"/>
      <c r="AM211" s="131"/>
      <c r="AN211" s="133"/>
      <c r="AO211" s="151"/>
      <c r="AP211" s="152"/>
      <c r="AQ211" s="152"/>
      <c r="AR211" s="152"/>
      <c r="AS211" s="130"/>
      <c r="AT211" s="149"/>
      <c r="AY211" s="218"/>
      <c r="AZ211" s="218"/>
      <c r="BA211" s="218"/>
      <c r="BB211" s="218"/>
    </row>
    <row r="212" spans="1:54" ht="15.6" customHeight="1">
      <c r="A212" s="132">
        <v>14</v>
      </c>
      <c r="B212" s="81" t="s">
        <v>49</v>
      </c>
      <c r="C212" s="81" t="s">
        <v>176</v>
      </c>
      <c r="D212" s="85" t="s">
        <v>18</v>
      </c>
      <c r="E212" s="86" t="s">
        <v>24</v>
      </c>
      <c r="F212" s="81" t="s">
        <v>50</v>
      </c>
      <c r="G212" s="165"/>
      <c r="H212" s="16">
        <f>APRIL!AL20</f>
        <v>24</v>
      </c>
      <c r="I212" s="17">
        <f>APRIL!AM20</f>
        <v>0</v>
      </c>
      <c r="J212" s="17">
        <f>APRIL!AN20</f>
        <v>0</v>
      </c>
      <c r="K212" s="17">
        <f>APRIL!AO20</f>
        <v>0</v>
      </c>
      <c r="L212" s="17">
        <f>APRIL!AP20</f>
        <v>1</v>
      </c>
      <c r="M212" s="17">
        <f>APRIL!AQ20</f>
        <v>0</v>
      </c>
      <c r="N212" s="17">
        <f>APRIL!AR20</f>
        <v>0</v>
      </c>
      <c r="O212" s="17">
        <f>APRIL!AS20</f>
        <v>0</v>
      </c>
      <c r="P212" s="22">
        <f>APRIL!AL83</f>
        <v>24</v>
      </c>
      <c r="Q212" s="23">
        <f>APRIL!AM83</f>
        <v>0</v>
      </c>
      <c r="R212" s="23">
        <f>APRIL!AN83</f>
        <v>0</v>
      </c>
      <c r="S212" s="23">
        <f>APRIL!AO83</f>
        <v>0</v>
      </c>
      <c r="T212" s="23">
        <f>APRIL!AQ83</f>
        <v>1</v>
      </c>
      <c r="U212" s="23">
        <f>APRIL!AP83</f>
        <v>0</v>
      </c>
      <c r="V212" s="23">
        <f>APRIL!AR83</f>
        <v>0</v>
      </c>
      <c r="W212" s="23">
        <f>APRIL!AS83</f>
        <v>0</v>
      </c>
      <c r="X212" s="28">
        <f>APRIL!AL147</f>
        <v>24</v>
      </c>
      <c r="Y212" s="29">
        <f>APRIL!AM147</f>
        <v>0</v>
      </c>
      <c r="Z212" s="29">
        <f>APRIL!AN147</f>
        <v>0</v>
      </c>
      <c r="AA212" s="29"/>
      <c r="AB212" s="29"/>
      <c r="AC212" s="37"/>
      <c r="AD212" s="37"/>
      <c r="AE212" s="148"/>
      <c r="AF212" s="132"/>
      <c r="AG212" s="160"/>
      <c r="AH212" s="85">
        <f t="shared" si="48"/>
        <v>0</v>
      </c>
      <c r="AI212" s="85"/>
      <c r="AJ212" s="85"/>
      <c r="AK212" s="85"/>
      <c r="AL212" s="85"/>
      <c r="AM212" s="131"/>
      <c r="AN212" s="133"/>
      <c r="AO212" s="151"/>
      <c r="AP212" s="152"/>
      <c r="AQ212" s="152"/>
      <c r="AR212" s="152"/>
      <c r="AS212" s="130"/>
      <c r="AT212" s="149"/>
      <c r="AY212" s="218"/>
      <c r="AZ212" s="218"/>
      <c r="BA212" s="218"/>
      <c r="BB212" s="218"/>
    </row>
    <row r="213" spans="1:54" ht="15.6" customHeight="1">
      <c r="A213" s="129">
        <v>15</v>
      </c>
      <c r="B213" s="81" t="s">
        <v>47</v>
      </c>
      <c r="C213" s="81" t="s">
        <v>48</v>
      </c>
      <c r="D213" s="85" t="s">
        <v>18</v>
      </c>
      <c r="E213" s="86" t="s">
        <v>24</v>
      </c>
      <c r="F213" s="81" t="s">
        <v>182</v>
      </c>
      <c r="G213" s="165"/>
      <c r="H213" s="16">
        <f>APRIL!AL21</f>
        <v>23</v>
      </c>
      <c r="I213" s="17">
        <f>APRIL!AM21</f>
        <v>1</v>
      </c>
      <c r="J213" s="17">
        <f>APRIL!AN21</f>
        <v>0</v>
      </c>
      <c r="K213" s="17">
        <f>APRIL!AO21</f>
        <v>0</v>
      </c>
      <c r="L213" s="17">
        <f>APRIL!AP21</f>
        <v>1</v>
      </c>
      <c r="M213" s="17">
        <f>APRIL!AQ21</f>
        <v>0</v>
      </c>
      <c r="N213" s="17">
        <f>APRIL!AR21</f>
        <v>0</v>
      </c>
      <c r="O213" s="17">
        <f>APRIL!AS21</f>
        <v>0</v>
      </c>
      <c r="P213" s="22">
        <f>APRIL!AL84</f>
        <v>20</v>
      </c>
      <c r="Q213" s="23">
        <f>APRIL!AM84</f>
        <v>0</v>
      </c>
      <c r="R213" s="23">
        <f>APRIL!AN84</f>
        <v>3</v>
      </c>
      <c r="S213" s="23">
        <f>APRIL!AO84</f>
        <v>0</v>
      </c>
      <c r="T213" s="23">
        <f>APRIL!AQ84</f>
        <v>1</v>
      </c>
      <c r="U213" s="23">
        <f>APRIL!AP84</f>
        <v>0</v>
      </c>
      <c r="V213" s="23">
        <f>APRIL!AR84</f>
        <v>0</v>
      </c>
      <c r="W213" s="23">
        <f>APRIL!AS84</f>
        <v>0</v>
      </c>
      <c r="X213" s="28">
        <f>APRIL!AL148</f>
        <v>22</v>
      </c>
      <c r="Y213" s="29">
        <f>APRIL!AM148</f>
        <v>0</v>
      </c>
      <c r="Z213" s="29">
        <f>APRIL!AN148</f>
        <v>1</v>
      </c>
      <c r="AA213" s="29"/>
      <c r="AB213" s="29"/>
      <c r="AC213" s="37"/>
      <c r="AD213" s="37"/>
      <c r="AE213" s="148"/>
      <c r="AF213" s="132"/>
      <c r="AG213" s="160"/>
      <c r="AH213" s="85">
        <f t="shared" si="48"/>
        <v>4</v>
      </c>
      <c r="AI213" s="85"/>
      <c r="AJ213" s="85"/>
      <c r="AK213" s="85"/>
      <c r="AL213" s="85"/>
      <c r="AM213" s="131"/>
      <c r="AN213" s="133"/>
      <c r="AO213" s="151"/>
      <c r="AP213" s="152"/>
      <c r="AQ213" s="152"/>
      <c r="AR213" s="152"/>
      <c r="AS213" s="130"/>
      <c r="AT213" s="149"/>
      <c r="AY213" s="218"/>
      <c r="AZ213" s="218"/>
      <c r="BA213" s="218"/>
      <c r="BB213" s="218"/>
    </row>
    <row r="214" spans="1:54" ht="15.6" customHeight="1">
      <c r="A214" s="132">
        <v>16</v>
      </c>
      <c r="B214" s="81" t="s">
        <v>169</v>
      </c>
      <c r="C214" s="81" t="s">
        <v>51</v>
      </c>
      <c r="D214" s="85" t="s">
        <v>18</v>
      </c>
      <c r="E214" s="86" t="s">
        <v>24</v>
      </c>
      <c r="F214" s="81" t="s">
        <v>50</v>
      </c>
      <c r="G214" s="165"/>
      <c r="H214" s="16">
        <f>APRIL!AL22</f>
        <v>24</v>
      </c>
      <c r="I214" s="17">
        <f>APRIL!AM22</f>
        <v>1</v>
      </c>
      <c r="J214" s="17">
        <f>APRIL!AN22</f>
        <v>0</v>
      </c>
      <c r="K214" s="17">
        <f>APRIL!AO22</f>
        <v>0</v>
      </c>
      <c r="L214" s="17">
        <f>APRIL!AP22</f>
        <v>0</v>
      </c>
      <c r="M214" s="17">
        <f>APRIL!AQ22</f>
        <v>0</v>
      </c>
      <c r="N214" s="17">
        <f>APRIL!AR22</f>
        <v>0</v>
      </c>
      <c r="O214" s="17">
        <f>APRIL!AS22</f>
        <v>0</v>
      </c>
      <c r="P214" s="22">
        <f>APRIL!AL85</f>
        <v>22</v>
      </c>
      <c r="Q214" s="23">
        <f>APRIL!AM85</f>
        <v>0</v>
      </c>
      <c r="R214" s="23">
        <f>APRIL!AN85</f>
        <v>2</v>
      </c>
      <c r="S214" s="23">
        <f>APRIL!AO85</f>
        <v>0</v>
      </c>
      <c r="T214" s="23">
        <f>APRIL!AQ85</f>
        <v>0</v>
      </c>
      <c r="U214" s="23">
        <f>APRIL!AP85</f>
        <v>0</v>
      </c>
      <c r="V214" s="23">
        <f>APRIL!AR85</f>
        <v>0</v>
      </c>
      <c r="W214" s="23">
        <f>APRIL!AS85</f>
        <v>0</v>
      </c>
      <c r="X214" s="28">
        <f>APRIL!AL149</f>
        <v>21</v>
      </c>
      <c r="Y214" s="29">
        <f>APRIL!AM149</f>
        <v>0</v>
      </c>
      <c r="Z214" s="29">
        <f>APRIL!AN149</f>
        <v>3</v>
      </c>
      <c r="AA214" s="29"/>
      <c r="AB214" s="29"/>
      <c r="AC214" s="37"/>
      <c r="AD214" s="37"/>
      <c r="AE214" s="148"/>
      <c r="AF214" s="132"/>
      <c r="AG214" s="160"/>
      <c r="AH214" s="85">
        <f t="shared" si="48"/>
        <v>5</v>
      </c>
      <c r="AI214" s="85"/>
      <c r="AJ214" s="85"/>
      <c r="AK214" s="85"/>
      <c r="AL214" s="85"/>
      <c r="AM214" s="131"/>
      <c r="AN214" s="133"/>
      <c r="AO214" s="151"/>
      <c r="AP214" s="152"/>
      <c r="AQ214" s="152"/>
      <c r="AR214" s="152"/>
      <c r="AS214" s="130"/>
      <c r="AT214" s="149"/>
      <c r="AY214" s="218"/>
      <c r="AZ214" s="218"/>
      <c r="BA214" s="218"/>
      <c r="BB214" s="218"/>
    </row>
    <row r="215" spans="1:54" ht="15.6" customHeight="1">
      <c r="A215" s="129">
        <v>17</v>
      </c>
      <c r="B215" s="81" t="s">
        <v>92</v>
      </c>
      <c r="C215" s="81" t="s">
        <v>59</v>
      </c>
      <c r="D215" s="85" t="s">
        <v>36</v>
      </c>
      <c r="E215" s="86" t="s">
        <v>24</v>
      </c>
      <c r="F215" s="81" t="s">
        <v>183</v>
      </c>
      <c r="G215" s="165"/>
      <c r="H215" s="16">
        <f>APRIL!AL23</f>
        <v>23</v>
      </c>
      <c r="I215" s="17">
        <f>APRIL!AM23</f>
        <v>1</v>
      </c>
      <c r="J215" s="17">
        <f>APRIL!AN23</f>
        <v>0</v>
      </c>
      <c r="K215" s="17">
        <f>APRIL!AO23</f>
        <v>0</v>
      </c>
      <c r="L215" s="17">
        <f>APRIL!AP23</f>
        <v>1</v>
      </c>
      <c r="M215" s="17">
        <f>APRIL!AQ23</f>
        <v>0</v>
      </c>
      <c r="N215" s="17">
        <f>APRIL!AR23</f>
        <v>0</v>
      </c>
      <c r="O215" s="17">
        <f>APRIL!AS23</f>
        <v>0</v>
      </c>
      <c r="P215" s="22">
        <f>APRIL!AL86</f>
        <v>12</v>
      </c>
      <c r="Q215" s="23">
        <f>APRIL!AM86</f>
        <v>0</v>
      </c>
      <c r="R215" s="23">
        <f>APRIL!AN86</f>
        <v>11</v>
      </c>
      <c r="S215" s="23">
        <f>APRIL!AO86</f>
        <v>0</v>
      </c>
      <c r="T215" s="23">
        <f>APRIL!AQ86</f>
        <v>1</v>
      </c>
      <c r="U215" s="23">
        <f>APRIL!AP86</f>
        <v>0</v>
      </c>
      <c r="V215" s="23">
        <f>APRIL!AR86</f>
        <v>0</v>
      </c>
      <c r="W215" s="23">
        <f>APRIL!AS86</f>
        <v>0</v>
      </c>
      <c r="X215" s="28">
        <f>APRIL!AL150</f>
        <v>19</v>
      </c>
      <c r="Y215" s="29">
        <f>APRIL!AM150</f>
        <v>0</v>
      </c>
      <c r="Z215" s="29">
        <f>APRIL!AN150</f>
        <v>4</v>
      </c>
      <c r="AA215" s="29"/>
      <c r="AB215" s="29"/>
      <c r="AC215" s="37"/>
      <c r="AD215" s="37"/>
      <c r="AE215" s="148"/>
      <c r="AF215" s="132"/>
      <c r="AG215" s="160"/>
      <c r="AH215" s="85">
        <f t="shared" si="48"/>
        <v>15</v>
      </c>
      <c r="AI215" s="85"/>
      <c r="AJ215" s="85"/>
      <c r="AK215" s="85"/>
      <c r="AL215" s="85"/>
      <c r="AM215" s="131"/>
      <c r="AN215" s="133"/>
      <c r="AO215" s="151"/>
      <c r="AP215" s="152"/>
      <c r="AQ215" s="152"/>
      <c r="AR215" s="152"/>
      <c r="AS215" s="130"/>
      <c r="AT215" s="149"/>
      <c r="AY215" s="218"/>
      <c r="AZ215" s="218"/>
      <c r="BA215" s="218"/>
      <c r="BB215" s="218"/>
    </row>
    <row r="216" spans="1:54" ht="15.6" customHeight="1">
      <c r="A216" s="132">
        <v>18</v>
      </c>
      <c r="B216" s="81" t="s">
        <v>168</v>
      </c>
      <c r="C216" s="81" t="s">
        <v>58</v>
      </c>
      <c r="D216" s="85" t="s">
        <v>36</v>
      </c>
      <c r="E216" s="86" t="s">
        <v>24</v>
      </c>
      <c r="F216" s="88" t="s">
        <v>99</v>
      </c>
      <c r="G216" s="165"/>
      <c r="H216" s="16">
        <f>APRIL!AL24</f>
        <v>24</v>
      </c>
      <c r="I216" s="17">
        <f>APRIL!AM24</f>
        <v>1</v>
      </c>
      <c r="J216" s="17">
        <f>APRIL!AN24</f>
        <v>0</v>
      </c>
      <c r="K216" s="17">
        <f>APRIL!AO24</f>
        <v>0</v>
      </c>
      <c r="L216" s="17">
        <f>APRIL!AP24</f>
        <v>0</v>
      </c>
      <c r="M216" s="17">
        <f>APRIL!AQ24</f>
        <v>0</v>
      </c>
      <c r="N216" s="17">
        <f>APRIL!AR24</f>
        <v>0</v>
      </c>
      <c r="O216" s="17">
        <f>APRIL!AS24</f>
        <v>0</v>
      </c>
      <c r="P216" s="22">
        <f>APRIL!AL87</f>
        <v>19</v>
      </c>
      <c r="Q216" s="23">
        <f>APRIL!AM87</f>
        <v>0</v>
      </c>
      <c r="R216" s="23">
        <f>APRIL!AN87</f>
        <v>5</v>
      </c>
      <c r="S216" s="23">
        <f>APRIL!AO87</f>
        <v>0</v>
      </c>
      <c r="T216" s="23">
        <f>APRIL!AQ87</f>
        <v>0</v>
      </c>
      <c r="U216" s="23">
        <f>APRIL!AP87</f>
        <v>0</v>
      </c>
      <c r="V216" s="23">
        <f>APRIL!AR87</f>
        <v>0</v>
      </c>
      <c r="W216" s="23">
        <f>APRIL!AS87</f>
        <v>0</v>
      </c>
      <c r="X216" s="28">
        <f>APRIL!AL151</f>
        <v>21</v>
      </c>
      <c r="Y216" s="29">
        <f>APRIL!AM151</f>
        <v>0</v>
      </c>
      <c r="Z216" s="29">
        <f>APRIL!AN151</f>
        <v>3</v>
      </c>
      <c r="AA216" s="29"/>
      <c r="AB216" s="29"/>
      <c r="AC216" s="37"/>
      <c r="AD216" s="37"/>
      <c r="AE216" s="148"/>
      <c r="AF216" s="132"/>
      <c r="AG216" s="160"/>
      <c r="AH216" s="85">
        <f t="shared" si="48"/>
        <v>8</v>
      </c>
      <c r="AI216" s="85"/>
      <c r="AJ216" s="85"/>
      <c r="AK216" s="85"/>
      <c r="AL216" s="85"/>
      <c r="AM216" s="131"/>
      <c r="AN216" s="133"/>
      <c r="AO216" s="151"/>
      <c r="AP216" s="152"/>
      <c r="AQ216" s="152"/>
      <c r="AR216" s="152"/>
      <c r="AS216" s="130"/>
      <c r="AT216" s="149"/>
      <c r="AY216" s="218"/>
      <c r="AZ216" s="218"/>
      <c r="BA216" s="218"/>
      <c r="BB216" s="218"/>
    </row>
    <row r="217" spans="1:54" ht="15.6" customHeight="1">
      <c r="A217" s="129">
        <v>19</v>
      </c>
      <c r="B217" s="81" t="s">
        <v>55</v>
      </c>
      <c r="C217" s="81" t="s">
        <v>56</v>
      </c>
      <c r="D217" s="85" t="s">
        <v>36</v>
      </c>
      <c r="E217" s="86" t="s">
        <v>24</v>
      </c>
      <c r="F217" s="81" t="s">
        <v>57</v>
      </c>
      <c r="G217" s="165"/>
      <c r="H217" s="16">
        <f>APRIL!AL25</f>
        <v>24</v>
      </c>
      <c r="I217" s="17">
        <f>APRIL!AM25</f>
        <v>0</v>
      </c>
      <c r="J217" s="17">
        <f>APRIL!AN25</f>
        <v>1</v>
      </c>
      <c r="K217" s="17">
        <f>APRIL!AO25</f>
        <v>0</v>
      </c>
      <c r="L217" s="17">
        <f>APRIL!AP25</f>
        <v>0</v>
      </c>
      <c r="M217" s="17">
        <f>APRIL!AQ25</f>
        <v>0</v>
      </c>
      <c r="N217" s="17">
        <f>APRIL!AR25</f>
        <v>0</v>
      </c>
      <c r="O217" s="17">
        <f>APRIL!AS25</f>
        <v>0</v>
      </c>
      <c r="P217" s="22">
        <f>APRIL!AL88</f>
        <v>23</v>
      </c>
      <c r="Q217" s="23">
        <f>APRIL!AM88</f>
        <v>0</v>
      </c>
      <c r="R217" s="23">
        <f>APRIL!AN88</f>
        <v>1</v>
      </c>
      <c r="S217" s="23">
        <f>APRIL!AO88</f>
        <v>0</v>
      </c>
      <c r="T217" s="23">
        <f>APRIL!AQ88</f>
        <v>0</v>
      </c>
      <c r="U217" s="23">
        <f>APRIL!AP88</f>
        <v>0</v>
      </c>
      <c r="V217" s="23">
        <f>APRIL!AR88</f>
        <v>0</v>
      </c>
      <c r="W217" s="23">
        <f>APRIL!AS88</f>
        <v>0</v>
      </c>
      <c r="X217" s="28">
        <f>APRIL!AL152</f>
        <v>24</v>
      </c>
      <c r="Y217" s="29">
        <f>APRIL!AM152</f>
        <v>0</v>
      </c>
      <c r="Z217" s="29">
        <f>APRIL!AN152</f>
        <v>0</v>
      </c>
      <c r="AA217" s="29"/>
      <c r="AB217" s="29"/>
      <c r="AC217" s="37"/>
      <c r="AD217" s="37"/>
      <c r="AE217" s="148"/>
      <c r="AF217" s="132"/>
      <c r="AG217" s="160"/>
      <c r="AH217" s="85">
        <f t="shared" si="48"/>
        <v>1</v>
      </c>
      <c r="AI217" s="85"/>
      <c r="AJ217" s="85"/>
      <c r="AK217" s="85"/>
      <c r="AL217" s="85"/>
      <c r="AM217" s="131"/>
      <c r="AN217" s="133"/>
      <c r="AO217" s="151"/>
      <c r="AP217" s="152"/>
      <c r="AQ217" s="152"/>
      <c r="AR217" s="152"/>
      <c r="AS217" s="130"/>
      <c r="AT217" s="149"/>
      <c r="AY217" s="218"/>
      <c r="AZ217" s="218"/>
      <c r="BA217" s="218"/>
      <c r="BB217" s="218"/>
    </row>
    <row r="218" spans="1:54" ht="15.6" customHeight="1">
      <c r="A218" s="132">
        <v>20</v>
      </c>
      <c r="B218" s="81" t="s">
        <v>98</v>
      </c>
      <c r="C218" s="81" t="s">
        <v>65</v>
      </c>
      <c r="D218" s="85" t="s">
        <v>36</v>
      </c>
      <c r="E218" s="86" t="s">
        <v>24</v>
      </c>
      <c r="F218" s="81" t="s">
        <v>161</v>
      </c>
      <c r="G218" s="165"/>
      <c r="H218" s="16">
        <f>APRIL!AL26</f>
        <v>25</v>
      </c>
      <c r="I218" s="17">
        <f>APRIL!AM26</f>
        <v>0</v>
      </c>
      <c r="J218" s="17">
        <f>APRIL!AN26</f>
        <v>0</v>
      </c>
      <c r="K218" s="17">
        <f>APRIL!AO26</f>
        <v>0</v>
      </c>
      <c r="L218" s="17">
        <f>APRIL!AP26</f>
        <v>0</v>
      </c>
      <c r="M218" s="17">
        <f>APRIL!AQ26</f>
        <v>0</v>
      </c>
      <c r="N218" s="17">
        <f>APRIL!AR26</f>
        <v>0</v>
      </c>
      <c r="O218" s="17">
        <f>APRIL!AS26</f>
        <v>0</v>
      </c>
      <c r="P218" s="22">
        <f>APRIL!AL89</f>
        <v>24</v>
      </c>
      <c r="Q218" s="23">
        <f>APRIL!AM89</f>
        <v>0</v>
      </c>
      <c r="R218" s="23">
        <f>APRIL!AN89</f>
        <v>1</v>
      </c>
      <c r="S218" s="23">
        <f>APRIL!AO89</f>
        <v>0</v>
      </c>
      <c r="T218" s="23">
        <f>APRIL!AQ89</f>
        <v>0</v>
      </c>
      <c r="U218" s="23">
        <f>APRIL!AP89</f>
        <v>0</v>
      </c>
      <c r="V218" s="23">
        <f>APRIL!AR89</f>
        <v>0</v>
      </c>
      <c r="W218" s="23">
        <f>APRIL!AS89</f>
        <v>0</v>
      </c>
      <c r="X218" s="28">
        <f>APRIL!AL153</f>
        <v>25</v>
      </c>
      <c r="Y218" s="29">
        <f>APRIL!AM153</f>
        <v>0</v>
      </c>
      <c r="Z218" s="29">
        <f>APRIL!AN153</f>
        <v>0</v>
      </c>
      <c r="AA218" s="29"/>
      <c r="AB218" s="29"/>
      <c r="AC218" s="37"/>
      <c r="AD218" s="37"/>
      <c r="AE218" s="148"/>
      <c r="AF218" s="132"/>
      <c r="AG218" s="160"/>
      <c r="AH218" s="85">
        <f t="shared" si="48"/>
        <v>1</v>
      </c>
      <c r="AI218" s="85"/>
      <c r="AJ218" s="85"/>
      <c r="AK218" s="85"/>
      <c r="AL218" s="85"/>
      <c r="AM218" s="131"/>
      <c r="AN218" s="133"/>
      <c r="AO218" s="151"/>
      <c r="AP218" s="152"/>
      <c r="AQ218" s="152"/>
      <c r="AR218" s="152"/>
      <c r="AS218" s="130"/>
      <c r="AT218" s="149"/>
      <c r="AY218" s="218"/>
      <c r="AZ218" s="218"/>
      <c r="BA218" s="218"/>
      <c r="BB218" s="218"/>
    </row>
    <row r="219" spans="1:54" ht="15.6" customHeight="1">
      <c r="A219" s="129">
        <v>21</v>
      </c>
      <c r="B219" s="81" t="s">
        <v>52</v>
      </c>
      <c r="C219" s="81" t="s">
        <v>53</v>
      </c>
      <c r="D219" s="85" t="s">
        <v>36</v>
      </c>
      <c r="E219" s="86" t="s">
        <v>24</v>
      </c>
      <c r="F219" s="81" t="s">
        <v>38</v>
      </c>
      <c r="G219" s="165"/>
      <c r="H219" s="16">
        <f>APRIL!AL27</f>
        <v>24</v>
      </c>
      <c r="I219" s="17">
        <f>APRIL!AM27</f>
        <v>0</v>
      </c>
      <c r="J219" s="17">
        <f>APRIL!AN27</f>
        <v>0</v>
      </c>
      <c r="K219" s="17">
        <f>APRIL!AO27</f>
        <v>0</v>
      </c>
      <c r="L219" s="17">
        <f>APRIL!AP27</f>
        <v>1</v>
      </c>
      <c r="M219" s="17">
        <f>APRIL!AQ27</f>
        <v>0</v>
      </c>
      <c r="N219" s="17">
        <f>APRIL!AR27</f>
        <v>0</v>
      </c>
      <c r="O219" s="17">
        <f>APRIL!AS27</f>
        <v>0</v>
      </c>
      <c r="P219" s="22">
        <f>APRIL!AL90</f>
        <v>24</v>
      </c>
      <c r="Q219" s="23">
        <f>APRIL!AM90</f>
        <v>0</v>
      </c>
      <c r="R219" s="23">
        <f>APRIL!AN90</f>
        <v>0</v>
      </c>
      <c r="S219" s="23">
        <f>APRIL!AO90</f>
        <v>0</v>
      </c>
      <c r="T219" s="23">
        <f>APRIL!AQ90</f>
        <v>1</v>
      </c>
      <c r="U219" s="23">
        <f>APRIL!AP90</f>
        <v>0</v>
      </c>
      <c r="V219" s="23">
        <f>APRIL!AR90</f>
        <v>0</v>
      </c>
      <c r="W219" s="23">
        <f>APRIL!AS90</f>
        <v>0</v>
      </c>
      <c r="X219" s="28">
        <f>APRIL!AL154</f>
        <v>23</v>
      </c>
      <c r="Y219" s="29">
        <f>APRIL!AM154</f>
        <v>0</v>
      </c>
      <c r="Z219" s="29">
        <f>APRIL!AN154</f>
        <v>1</v>
      </c>
      <c r="AA219" s="29"/>
      <c r="AB219" s="29"/>
      <c r="AC219" s="37"/>
      <c r="AD219" s="37"/>
      <c r="AE219" s="148"/>
      <c r="AF219" s="132"/>
      <c r="AG219" s="160"/>
      <c r="AH219" s="85">
        <f t="shared" si="48"/>
        <v>1</v>
      </c>
      <c r="AI219" s="85"/>
      <c r="AJ219" s="85"/>
      <c r="AK219" s="85"/>
      <c r="AL219" s="85"/>
      <c r="AM219" s="131"/>
      <c r="AN219" s="133"/>
      <c r="AO219" s="151"/>
      <c r="AP219" s="152"/>
      <c r="AQ219" s="152"/>
      <c r="AR219" s="152"/>
      <c r="AS219" s="130"/>
      <c r="AT219" s="149"/>
      <c r="AY219" s="218"/>
      <c r="AZ219" s="218"/>
      <c r="BA219" s="218"/>
      <c r="BB219" s="218"/>
    </row>
    <row r="220" spans="1:54" ht="15.6" customHeight="1">
      <c r="A220" s="132">
        <v>22</v>
      </c>
      <c r="B220" s="81" t="s">
        <v>170</v>
      </c>
      <c r="C220" s="81" t="s">
        <v>60</v>
      </c>
      <c r="D220" s="85" t="s">
        <v>54</v>
      </c>
      <c r="E220" s="86" t="s">
        <v>24</v>
      </c>
      <c r="F220" s="81" t="s">
        <v>61</v>
      </c>
      <c r="G220" s="165"/>
      <c r="H220" s="16">
        <f>APRIL!AL28</f>
        <v>24</v>
      </c>
      <c r="I220" s="17">
        <f>APRIL!AM28</f>
        <v>0</v>
      </c>
      <c r="J220" s="17">
        <f>APRIL!AN28</f>
        <v>0</v>
      </c>
      <c r="K220" s="17">
        <f>APRIL!AO28</f>
        <v>0</v>
      </c>
      <c r="L220" s="17">
        <f>APRIL!AP28</f>
        <v>1</v>
      </c>
      <c r="M220" s="17">
        <f>APRIL!AQ28</f>
        <v>0</v>
      </c>
      <c r="N220" s="17">
        <f>APRIL!AR28</f>
        <v>0</v>
      </c>
      <c r="O220" s="17">
        <f>APRIL!AS28</f>
        <v>0</v>
      </c>
      <c r="P220" s="22">
        <f>APRIL!AL91</f>
        <v>16</v>
      </c>
      <c r="Q220" s="23">
        <f>APRIL!AM91</f>
        <v>0</v>
      </c>
      <c r="R220" s="23">
        <f>APRIL!AN91</f>
        <v>8</v>
      </c>
      <c r="S220" s="23">
        <f>APRIL!AO91</f>
        <v>0</v>
      </c>
      <c r="T220" s="23">
        <f>APRIL!AQ91</f>
        <v>1</v>
      </c>
      <c r="U220" s="23">
        <f>APRIL!AP91</f>
        <v>0</v>
      </c>
      <c r="V220" s="23">
        <f>APRIL!AR91</f>
        <v>0</v>
      </c>
      <c r="W220" s="23">
        <f>APRIL!AS91</f>
        <v>0</v>
      </c>
      <c r="X220" s="28">
        <f>APRIL!AL155</f>
        <v>21</v>
      </c>
      <c r="Y220" s="29">
        <f>APRIL!AM155</f>
        <v>0</v>
      </c>
      <c r="Z220" s="29">
        <f>APRIL!AN155</f>
        <v>3</v>
      </c>
      <c r="AA220" s="29"/>
      <c r="AB220" s="29"/>
      <c r="AC220" s="37"/>
      <c r="AD220" s="37"/>
      <c r="AE220" s="148"/>
      <c r="AF220" s="132"/>
      <c r="AG220" s="160"/>
      <c r="AH220" s="85">
        <f t="shared" si="48"/>
        <v>11</v>
      </c>
      <c r="AI220" s="85"/>
      <c r="AJ220" s="85"/>
      <c r="AK220" s="85"/>
      <c r="AL220" s="85"/>
      <c r="AM220" s="131"/>
      <c r="AN220" s="133"/>
      <c r="AO220" s="151"/>
      <c r="AP220" s="152"/>
      <c r="AQ220" s="152"/>
      <c r="AR220" s="152"/>
      <c r="AS220" s="130"/>
      <c r="AT220" s="149"/>
      <c r="AY220" s="218"/>
      <c r="AZ220" s="218"/>
      <c r="BA220" s="218"/>
      <c r="BB220" s="218"/>
    </row>
    <row r="221" spans="1:54" ht="15.6" customHeight="1">
      <c r="A221" s="132">
        <v>23</v>
      </c>
      <c r="B221" s="81" t="s">
        <v>166</v>
      </c>
      <c r="C221" s="81" t="s">
        <v>62</v>
      </c>
      <c r="D221" s="85" t="s">
        <v>54</v>
      </c>
      <c r="E221" s="86" t="s">
        <v>24</v>
      </c>
      <c r="F221" s="81" t="s">
        <v>61</v>
      </c>
      <c r="G221" s="165"/>
      <c r="H221" s="16">
        <f>APRIL!AL29</f>
        <v>17</v>
      </c>
      <c r="I221" s="17">
        <f>APRIL!AM29</f>
        <v>7</v>
      </c>
      <c r="J221" s="17">
        <f>APRIL!AN29</f>
        <v>1</v>
      </c>
      <c r="K221" s="17">
        <f>APRIL!AO29</f>
        <v>0</v>
      </c>
      <c r="L221" s="17">
        <f>APRIL!AP29</f>
        <v>0</v>
      </c>
      <c r="M221" s="17">
        <f>APRIL!AQ29</f>
        <v>0</v>
      </c>
      <c r="N221" s="17">
        <f>APRIL!AR29</f>
        <v>0</v>
      </c>
      <c r="O221" s="17">
        <f>APRIL!AS29</f>
        <v>0</v>
      </c>
      <c r="P221" s="22">
        <f>APRIL!AL92</f>
        <v>14</v>
      </c>
      <c r="Q221" s="23">
        <f>APRIL!AM92</f>
        <v>0</v>
      </c>
      <c r="R221" s="23">
        <f>APRIL!AN92</f>
        <v>3</v>
      </c>
      <c r="S221" s="23">
        <f>APRIL!AO92</f>
        <v>0</v>
      </c>
      <c r="T221" s="23">
        <f>APRIL!AQ92</f>
        <v>0</v>
      </c>
      <c r="U221" s="23">
        <f>APRIL!AP92</f>
        <v>0</v>
      </c>
      <c r="V221" s="23">
        <f>APRIL!AR92</f>
        <v>0</v>
      </c>
      <c r="W221" s="23">
        <f>APRIL!AS92</f>
        <v>0</v>
      </c>
      <c r="X221" s="28">
        <f>APRIL!AL156</f>
        <v>10</v>
      </c>
      <c r="Y221" s="29">
        <f>APRIL!AM156</f>
        <v>0</v>
      </c>
      <c r="Z221" s="29">
        <f>APRIL!AN156</f>
        <v>7</v>
      </c>
      <c r="AA221" s="29"/>
      <c r="AB221" s="29"/>
      <c r="AC221" s="37"/>
      <c r="AD221" s="37"/>
      <c r="AE221" s="148"/>
      <c r="AF221" s="132"/>
      <c r="AG221" s="160"/>
      <c r="AH221" s="85">
        <f t="shared" si="48"/>
        <v>10</v>
      </c>
      <c r="AI221" s="85"/>
      <c r="AJ221" s="85"/>
      <c r="AK221" s="85"/>
      <c r="AL221" s="85"/>
      <c r="AM221" s="131"/>
      <c r="AN221" s="133"/>
      <c r="AO221" s="151"/>
      <c r="AP221" s="152"/>
      <c r="AQ221" s="152"/>
      <c r="AR221" s="152"/>
      <c r="AS221" s="130"/>
      <c r="AT221" s="149"/>
      <c r="AY221" s="218"/>
      <c r="AZ221" s="218"/>
      <c r="BA221" s="218"/>
      <c r="BB221" s="218"/>
    </row>
    <row r="222" spans="1:54" ht="16.5" customHeight="1">
      <c r="A222" s="129">
        <v>24</v>
      </c>
      <c r="B222" s="81" t="s">
        <v>171</v>
      </c>
      <c r="C222" s="81" t="s">
        <v>63</v>
      </c>
      <c r="D222" s="85" t="s">
        <v>54</v>
      </c>
      <c r="E222" s="86" t="s">
        <v>24</v>
      </c>
      <c r="F222" s="81" t="s">
        <v>61</v>
      </c>
      <c r="G222" s="165"/>
      <c r="H222" s="16">
        <f>APRIL!AL30</f>
        <v>25</v>
      </c>
      <c r="I222" s="17">
        <f>APRIL!AM30</f>
        <v>0</v>
      </c>
      <c r="J222" s="17">
        <f>APRIL!AN30</f>
        <v>0</v>
      </c>
      <c r="K222" s="17">
        <f>APRIL!AO30</f>
        <v>0</v>
      </c>
      <c r="L222" s="17">
        <f>APRIL!AP30</f>
        <v>0</v>
      </c>
      <c r="M222" s="17">
        <f>APRIL!AQ30</f>
        <v>0</v>
      </c>
      <c r="N222" s="17">
        <f>APRIL!AR30</f>
        <v>0</v>
      </c>
      <c r="O222" s="17">
        <f>APRIL!AS30</f>
        <v>0</v>
      </c>
      <c r="P222" s="22">
        <f>APRIL!AL93</f>
        <v>24</v>
      </c>
      <c r="Q222" s="23">
        <f>APRIL!AM93</f>
        <v>0</v>
      </c>
      <c r="R222" s="23">
        <f>APRIL!AN93</f>
        <v>1</v>
      </c>
      <c r="S222" s="23">
        <f>APRIL!AO93</f>
        <v>0</v>
      </c>
      <c r="T222" s="23">
        <f>APRIL!AQ93</f>
        <v>0</v>
      </c>
      <c r="U222" s="23">
        <f>APRIL!AP93</f>
        <v>0</v>
      </c>
      <c r="V222" s="23">
        <f>APRIL!AR93</f>
        <v>0</v>
      </c>
      <c r="W222" s="23">
        <f>APRIL!AS93</f>
        <v>0</v>
      </c>
      <c r="X222" s="28">
        <f>APRIL!AL157</f>
        <v>25</v>
      </c>
      <c r="Y222" s="29">
        <f>APRIL!AM157</f>
        <v>0</v>
      </c>
      <c r="Z222" s="29">
        <f>APRIL!AN157</f>
        <v>0</v>
      </c>
      <c r="AA222" s="29"/>
      <c r="AB222" s="29"/>
      <c r="AC222" s="37"/>
      <c r="AD222" s="37"/>
      <c r="AE222" s="148"/>
      <c r="AF222" s="132"/>
      <c r="AG222" s="160"/>
      <c r="AH222" s="85">
        <f t="shared" si="48"/>
        <v>1</v>
      </c>
      <c r="AI222" s="85"/>
      <c r="AJ222" s="85"/>
      <c r="AK222" s="85"/>
      <c r="AL222" s="85"/>
      <c r="AM222" s="131"/>
      <c r="AN222" s="133"/>
      <c r="AO222" s="151"/>
      <c r="AP222" s="152"/>
      <c r="AQ222" s="152"/>
      <c r="AR222" s="152"/>
      <c r="AS222" s="130"/>
      <c r="AT222" s="149"/>
      <c r="AY222" s="218"/>
      <c r="AZ222" s="218"/>
      <c r="BA222" s="218"/>
      <c r="BB222" s="218"/>
    </row>
    <row r="223" spans="1:54" ht="15.6" customHeight="1">
      <c r="A223" s="132">
        <v>25</v>
      </c>
      <c r="B223" s="81" t="s">
        <v>172</v>
      </c>
      <c r="C223" s="81" t="s">
        <v>64</v>
      </c>
      <c r="D223" s="85" t="s">
        <v>54</v>
      </c>
      <c r="E223" s="86" t="s">
        <v>24</v>
      </c>
      <c r="F223" s="90" t="s">
        <v>57</v>
      </c>
      <c r="G223" s="165"/>
      <c r="H223" s="16">
        <f>APRIL!AL31</f>
        <v>21</v>
      </c>
      <c r="I223" s="17">
        <f>APRIL!AM31</f>
        <v>0</v>
      </c>
      <c r="J223" s="17">
        <f>APRIL!AN31</f>
        <v>3</v>
      </c>
      <c r="K223" s="17">
        <f>APRIL!AO31</f>
        <v>0</v>
      </c>
      <c r="L223" s="17">
        <f>APRIL!AP31</f>
        <v>0</v>
      </c>
      <c r="M223" s="17">
        <f>APRIL!AQ31</f>
        <v>0</v>
      </c>
      <c r="N223" s="17">
        <f>APRIL!AR31</f>
        <v>1</v>
      </c>
      <c r="O223" s="17">
        <f>APRIL!AS31</f>
        <v>0</v>
      </c>
      <c r="P223" s="22">
        <f>APRIL!AL94</f>
        <v>20</v>
      </c>
      <c r="Q223" s="23">
        <f>APRIL!AM94</f>
        <v>0</v>
      </c>
      <c r="R223" s="23">
        <f>APRIL!AN94</f>
        <v>1</v>
      </c>
      <c r="S223" s="23">
        <f>APRIL!AO94</f>
        <v>0</v>
      </c>
      <c r="T223" s="23">
        <f>APRIL!AQ94</f>
        <v>0</v>
      </c>
      <c r="U223" s="23">
        <f>APRIL!AP94</f>
        <v>0</v>
      </c>
      <c r="V223" s="23">
        <f>APRIL!AR94</f>
        <v>1</v>
      </c>
      <c r="W223" s="23">
        <f>APRIL!AS94</f>
        <v>0</v>
      </c>
      <c r="X223" s="28">
        <f>APRIL!AL158</f>
        <v>21</v>
      </c>
      <c r="Y223" s="29">
        <f>APRIL!AM158</f>
        <v>0</v>
      </c>
      <c r="Z223" s="29">
        <f>APRIL!AN158</f>
        <v>0</v>
      </c>
      <c r="AA223" s="29"/>
      <c r="AB223" s="29"/>
      <c r="AC223" s="37"/>
      <c r="AD223" s="37"/>
      <c r="AE223" s="148"/>
      <c r="AF223" s="132"/>
      <c r="AG223" s="160"/>
      <c r="AH223" s="85">
        <f t="shared" si="48"/>
        <v>1</v>
      </c>
      <c r="AI223" s="85"/>
      <c r="AJ223" s="85"/>
      <c r="AK223" s="85"/>
      <c r="AL223" s="85"/>
      <c r="AM223" s="131"/>
      <c r="AN223" s="133"/>
      <c r="AO223" s="151"/>
      <c r="AP223" s="152"/>
      <c r="AQ223" s="152"/>
      <c r="AR223" s="152"/>
      <c r="AS223" s="130"/>
      <c r="AT223" s="149"/>
      <c r="AY223" s="218"/>
      <c r="AZ223" s="218"/>
      <c r="BA223" s="218"/>
      <c r="BB223" s="218"/>
    </row>
    <row r="224" spans="1:54" ht="15.6" customHeight="1">
      <c r="A224" s="132">
        <v>26</v>
      </c>
      <c r="B224" s="81" t="s">
        <v>164</v>
      </c>
      <c r="C224" s="81" t="s">
        <v>66</v>
      </c>
      <c r="D224" s="85" t="s">
        <v>54</v>
      </c>
      <c r="E224" s="86" t="s">
        <v>24</v>
      </c>
      <c r="F224" s="81" t="s">
        <v>163</v>
      </c>
      <c r="G224" s="165"/>
      <c r="H224" s="16">
        <f>APRIL!AL32</f>
        <v>25</v>
      </c>
      <c r="I224" s="17">
        <f>APRIL!AM32</f>
        <v>0</v>
      </c>
      <c r="J224" s="17">
        <f>APRIL!AN32</f>
        <v>0</v>
      </c>
      <c r="K224" s="17">
        <f>APRIL!AO32</f>
        <v>0</v>
      </c>
      <c r="L224" s="17">
        <f>APRIL!AP32</f>
        <v>0</v>
      </c>
      <c r="M224" s="17">
        <f>APRIL!AQ32</f>
        <v>0</v>
      </c>
      <c r="N224" s="17">
        <f>APRIL!AR32</f>
        <v>0</v>
      </c>
      <c r="O224" s="17">
        <f>APRIL!AS32</f>
        <v>0</v>
      </c>
      <c r="P224" s="22">
        <f>APRIL!AL95</f>
        <v>25</v>
      </c>
      <c r="Q224" s="23">
        <f>APRIL!AM95</f>
        <v>0</v>
      </c>
      <c r="R224" s="23">
        <f>APRIL!AN95</f>
        <v>0</v>
      </c>
      <c r="S224" s="23">
        <f>APRIL!AO95</f>
        <v>0</v>
      </c>
      <c r="T224" s="23">
        <f>APRIL!AQ95</f>
        <v>0</v>
      </c>
      <c r="U224" s="23">
        <f>APRIL!AP95</f>
        <v>0</v>
      </c>
      <c r="V224" s="23">
        <f>APRIL!AR95</f>
        <v>0</v>
      </c>
      <c r="W224" s="23">
        <f>APRIL!AS95</f>
        <v>0</v>
      </c>
      <c r="X224" s="28">
        <f>APRIL!AL159</f>
        <v>25</v>
      </c>
      <c r="Y224" s="29">
        <f>APRIL!AM159</f>
        <v>0</v>
      </c>
      <c r="Z224" s="29">
        <f>APRIL!AN159</f>
        <v>0</v>
      </c>
      <c r="AA224" s="29"/>
      <c r="AB224" s="29"/>
      <c r="AC224" s="37"/>
      <c r="AD224" s="37"/>
      <c r="AE224" s="148"/>
      <c r="AF224" s="132"/>
      <c r="AG224" s="160"/>
      <c r="AH224" s="85">
        <f t="shared" si="48"/>
        <v>0</v>
      </c>
      <c r="AI224" s="85"/>
      <c r="AJ224" s="85"/>
      <c r="AK224" s="85"/>
      <c r="AL224" s="85"/>
      <c r="AM224" s="131"/>
      <c r="AN224" s="133"/>
      <c r="AO224" s="151"/>
      <c r="AP224" s="152"/>
      <c r="AQ224" s="152"/>
      <c r="AR224" s="152"/>
      <c r="AS224" s="130"/>
      <c r="AT224" s="149"/>
      <c r="AY224" s="218"/>
      <c r="AZ224" s="218"/>
      <c r="BA224" s="218"/>
      <c r="BB224" s="218"/>
    </row>
    <row r="225" spans="1:54" ht="15.6" customHeight="1">
      <c r="A225" s="129">
        <v>27</v>
      </c>
      <c r="B225" s="81" t="s">
        <v>89</v>
      </c>
      <c r="C225" s="81" t="s">
        <v>177</v>
      </c>
      <c r="D225" s="85" t="s">
        <v>93</v>
      </c>
      <c r="E225" s="86" t="s">
        <v>24</v>
      </c>
      <c r="F225" s="81" t="s">
        <v>94</v>
      </c>
      <c r="G225" s="165"/>
      <c r="H225" s="16">
        <f>APRIL!AL33</f>
        <v>24</v>
      </c>
      <c r="I225" s="17">
        <f>APRIL!AM33</f>
        <v>1</v>
      </c>
      <c r="J225" s="17">
        <f>APRIL!AN33</f>
        <v>0</v>
      </c>
      <c r="K225" s="17">
        <f>APRIL!AO33</f>
        <v>0</v>
      </c>
      <c r="L225" s="17">
        <f>APRIL!AP33</f>
        <v>0</v>
      </c>
      <c r="M225" s="17">
        <f>APRIL!AQ33</f>
        <v>0</v>
      </c>
      <c r="N225" s="17">
        <f>APRIL!AR33</f>
        <v>0</v>
      </c>
      <c r="O225" s="17">
        <f>APRIL!AS33</f>
        <v>0</v>
      </c>
      <c r="P225" s="22">
        <f>APRIL!AL96</f>
        <v>22</v>
      </c>
      <c r="Q225" s="23">
        <f>APRIL!AM96</f>
        <v>0</v>
      </c>
      <c r="R225" s="23">
        <f>APRIL!AN96</f>
        <v>2</v>
      </c>
      <c r="S225" s="23">
        <f>APRIL!AO96</f>
        <v>0</v>
      </c>
      <c r="T225" s="23">
        <f>APRIL!AQ96</f>
        <v>0</v>
      </c>
      <c r="U225" s="23">
        <f>APRIL!AP96</f>
        <v>0</v>
      </c>
      <c r="V225" s="23">
        <f>APRIL!AR96</f>
        <v>0</v>
      </c>
      <c r="W225" s="23">
        <f>APRIL!AS96</f>
        <v>0</v>
      </c>
      <c r="X225" s="28">
        <f>APRIL!AL160</f>
        <v>22</v>
      </c>
      <c r="Y225" s="29">
        <f>APRIL!AM160</f>
        <v>0</v>
      </c>
      <c r="Z225" s="29">
        <f>APRIL!AN160</f>
        <v>2</v>
      </c>
      <c r="AA225" s="29"/>
      <c r="AB225" s="29"/>
      <c r="AC225" s="37"/>
      <c r="AD225" s="37"/>
      <c r="AE225" s="148"/>
      <c r="AF225" s="132"/>
      <c r="AG225" s="160"/>
      <c r="AH225" s="85">
        <f t="shared" si="48"/>
        <v>4</v>
      </c>
      <c r="AI225" s="85"/>
      <c r="AJ225" s="85"/>
      <c r="AK225" s="85"/>
      <c r="AL225" s="85"/>
      <c r="AM225" s="131"/>
      <c r="AN225" s="133"/>
      <c r="AO225" s="151"/>
      <c r="AP225" s="152"/>
      <c r="AQ225" s="152"/>
      <c r="AR225" s="152"/>
      <c r="AS225" s="130"/>
      <c r="AT225" s="149"/>
      <c r="AY225" s="218"/>
      <c r="AZ225" s="218"/>
      <c r="BA225" s="218"/>
      <c r="BB225" s="218"/>
    </row>
    <row r="226" spans="1:54" ht="15.6" customHeight="1">
      <c r="A226" s="132">
        <v>28</v>
      </c>
      <c r="B226" s="81" t="s">
        <v>165</v>
      </c>
      <c r="C226" s="81" t="s">
        <v>72</v>
      </c>
      <c r="D226" s="85" t="s">
        <v>93</v>
      </c>
      <c r="E226" s="86" t="s">
        <v>73</v>
      </c>
      <c r="F226" s="90" t="s">
        <v>57</v>
      </c>
      <c r="G226" s="165"/>
      <c r="H226" s="16">
        <f>APRIL!AL34</f>
        <v>22</v>
      </c>
      <c r="I226" s="17">
        <f>APRIL!AM34</f>
        <v>0</v>
      </c>
      <c r="J226" s="17">
        <f>APRIL!AN34</f>
        <v>0</v>
      </c>
      <c r="K226" s="17">
        <f>APRIL!AO34</f>
        <v>0</v>
      </c>
      <c r="L226" s="17">
        <f>APRIL!AP34</f>
        <v>3</v>
      </c>
      <c r="M226" s="17">
        <f>APRIL!AQ34</f>
        <v>0</v>
      </c>
      <c r="N226" s="17">
        <f>APRIL!AR34</f>
        <v>0</v>
      </c>
      <c r="O226" s="17">
        <f>APRIL!AS34</f>
        <v>0</v>
      </c>
      <c r="P226" s="22">
        <f>APRIL!AL97</f>
        <v>21</v>
      </c>
      <c r="Q226" s="23">
        <f>APRIL!AM97</f>
        <v>0</v>
      </c>
      <c r="R226" s="23">
        <f>APRIL!AN97</f>
        <v>1</v>
      </c>
      <c r="S226" s="23">
        <f>APRIL!AO97</f>
        <v>0</v>
      </c>
      <c r="T226" s="23">
        <f>APRIL!AQ97</f>
        <v>3</v>
      </c>
      <c r="U226" s="23">
        <f>APRIL!AP97</f>
        <v>0</v>
      </c>
      <c r="V226" s="23">
        <f>APRIL!AR97</f>
        <v>0</v>
      </c>
      <c r="W226" s="23">
        <f>APRIL!AS97</f>
        <v>0</v>
      </c>
      <c r="X226" s="28">
        <f>APRIL!AL161</f>
        <v>19</v>
      </c>
      <c r="Y226" s="29">
        <f>APRIL!AM161</f>
        <v>0</v>
      </c>
      <c r="Z226" s="29">
        <f>APRIL!AN161</f>
        <v>3</v>
      </c>
      <c r="AA226" s="29"/>
      <c r="AB226" s="29"/>
      <c r="AC226" s="37"/>
      <c r="AD226" s="37"/>
      <c r="AE226" s="148"/>
      <c r="AF226" s="132"/>
      <c r="AG226" s="160"/>
      <c r="AH226" s="85">
        <f t="shared" si="48"/>
        <v>4</v>
      </c>
      <c r="AI226" s="85"/>
      <c r="AJ226" s="85"/>
      <c r="AK226" s="85"/>
      <c r="AL226" s="85"/>
      <c r="AM226" s="131"/>
      <c r="AN226" s="133"/>
      <c r="AO226" s="151"/>
      <c r="AP226" s="152"/>
      <c r="AQ226" s="152"/>
      <c r="AR226" s="152"/>
      <c r="AS226" s="130"/>
      <c r="AT226" s="149"/>
      <c r="AY226" s="218"/>
      <c r="AZ226" s="218"/>
      <c r="BA226" s="218"/>
      <c r="BB226" s="218"/>
    </row>
    <row r="227" spans="1:54" ht="15.6" customHeight="1">
      <c r="A227" s="132">
        <v>29</v>
      </c>
      <c r="B227" s="81" t="s">
        <v>67</v>
      </c>
      <c r="C227" s="81" t="s">
        <v>68</v>
      </c>
      <c r="D227" s="85" t="s">
        <v>93</v>
      </c>
      <c r="E227" s="92" t="s">
        <v>24</v>
      </c>
      <c r="F227" s="90" t="s">
        <v>57</v>
      </c>
      <c r="G227" s="165"/>
      <c r="H227" s="16">
        <f>APRIL!AL35</f>
        <v>25</v>
      </c>
      <c r="I227" s="17">
        <f>APRIL!AM35</f>
        <v>0</v>
      </c>
      <c r="J227" s="17">
        <f>APRIL!AN35</f>
        <v>0</v>
      </c>
      <c r="K227" s="17">
        <f>APRIL!AO35</f>
        <v>0</v>
      </c>
      <c r="L227" s="17">
        <f>APRIL!AP35</f>
        <v>0</v>
      </c>
      <c r="M227" s="17">
        <f>APRIL!AQ35</f>
        <v>0</v>
      </c>
      <c r="N227" s="17">
        <f>APRIL!AR35</f>
        <v>0</v>
      </c>
      <c r="O227" s="17">
        <f>APRIL!AS35</f>
        <v>0</v>
      </c>
      <c r="P227" s="22">
        <f>APRIL!AL98</f>
        <v>25</v>
      </c>
      <c r="Q227" s="23">
        <f>APRIL!AM98</f>
        <v>0</v>
      </c>
      <c r="R227" s="23">
        <f>APRIL!AN98</f>
        <v>0</v>
      </c>
      <c r="S227" s="23">
        <f>APRIL!AO98</f>
        <v>0</v>
      </c>
      <c r="T227" s="23">
        <f>APRIL!AQ98</f>
        <v>0</v>
      </c>
      <c r="U227" s="23">
        <f>APRIL!AP98</f>
        <v>0</v>
      </c>
      <c r="V227" s="23">
        <f>APRIL!AR98</f>
        <v>0</v>
      </c>
      <c r="W227" s="23">
        <f>APRIL!AS98</f>
        <v>0</v>
      </c>
      <c r="X227" s="28">
        <f>APRIL!AL162</f>
        <v>25</v>
      </c>
      <c r="Y227" s="29">
        <f>APRIL!AM162</f>
        <v>0</v>
      </c>
      <c r="Z227" s="29">
        <f>APRIL!AN162</f>
        <v>0</v>
      </c>
      <c r="AA227" s="29"/>
      <c r="AB227" s="29"/>
      <c r="AC227" s="37"/>
      <c r="AD227" s="37"/>
      <c r="AE227" s="148"/>
      <c r="AF227" s="132"/>
      <c r="AG227" s="160"/>
      <c r="AH227" s="85">
        <f t="shared" si="48"/>
        <v>0</v>
      </c>
      <c r="AI227" s="85"/>
      <c r="AJ227" s="85"/>
      <c r="AK227" s="85"/>
      <c r="AL227" s="85"/>
      <c r="AM227" s="131"/>
      <c r="AN227" s="133"/>
      <c r="AO227" s="151"/>
      <c r="AP227" s="152"/>
      <c r="AQ227" s="152"/>
      <c r="AR227" s="152"/>
      <c r="AS227" s="130"/>
      <c r="AT227" s="149"/>
      <c r="AY227" s="218"/>
      <c r="AZ227" s="218"/>
      <c r="BA227" s="218"/>
      <c r="BB227" s="218"/>
    </row>
    <row r="228" spans="1:54" ht="15.6" customHeight="1">
      <c r="A228" s="129">
        <v>30</v>
      </c>
      <c r="B228" s="81" t="s">
        <v>69</v>
      </c>
      <c r="C228" s="81" t="s">
        <v>70</v>
      </c>
      <c r="D228" s="85" t="s">
        <v>120</v>
      </c>
      <c r="E228" s="92" t="s">
        <v>24</v>
      </c>
      <c r="F228" s="81" t="s">
        <v>71</v>
      </c>
      <c r="G228" s="165"/>
      <c r="H228" s="16">
        <f>APRIL!AL36</f>
        <v>19</v>
      </c>
      <c r="I228" s="17">
        <f>APRIL!AM36</f>
        <v>0</v>
      </c>
      <c r="J228" s="17">
        <f>APRIL!AN36</f>
        <v>0</v>
      </c>
      <c r="K228" s="17">
        <f>APRIL!AO36</f>
        <v>0</v>
      </c>
      <c r="L228" s="17">
        <f>APRIL!AP36</f>
        <v>3</v>
      </c>
      <c r="M228" s="17">
        <f>APRIL!AQ36</f>
        <v>0</v>
      </c>
      <c r="N228" s="17">
        <f>APRIL!AR36</f>
        <v>3</v>
      </c>
      <c r="O228" s="17">
        <f>APRIL!AS36</f>
        <v>0</v>
      </c>
      <c r="P228" s="22">
        <f>APRIL!AL99</f>
        <v>19</v>
      </c>
      <c r="Q228" s="23">
        <f>APRIL!AM99</f>
        <v>0</v>
      </c>
      <c r="R228" s="23">
        <f>APRIL!AN99</f>
        <v>0</v>
      </c>
      <c r="S228" s="23">
        <f>APRIL!AO99</f>
        <v>0</v>
      </c>
      <c r="T228" s="23">
        <f>APRIL!AQ99</f>
        <v>3</v>
      </c>
      <c r="U228" s="23">
        <f>APRIL!AP99</f>
        <v>0</v>
      </c>
      <c r="V228" s="23">
        <f>APRIL!AR99</f>
        <v>3</v>
      </c>
      <c r="W228" s="23">
        <f>APRIL!AS99</f>
        <v>0</v>
      </c>
      <c r="X228" s="28">
        <f>APRIL!AL163</f>
        <v>19</v>
      </c>
      <c r="Y228" s="29">
        <f>APRIL!AM163</f>
        <v>0</v>
      </c>
      <c r="Z228" s="29">
        <f>APRIL!AN163</f>
        <v>0</v>
      </c>
      <c r="AA228" s="29"/>
      <c r="AB228" s="29"/>
      <c r="AC228" s="37"/>
      <c r="AD228" s="37"/>
      <c r="AE228" s="148"/>
      <c r="AF228" s="132"/>
      <c r="AG228" s="160"/>
      <c r="AH228" s="85">
        <f t="shared" si="48"/>
        <v>0</v>
      </c>
      <c r="AI228" s="85"/>
      <c r="AJ228" s="85"/>
      <c r="AK228" s="85"/>
      <c r="AL228" s="85"/>
      <c r="AM228" s="131"/>
      <c r="AN228" s="133"/>
      <c r="AO228" s="151"/>
      <c r="AP228" s="152"/>
      <c r="AQ228" s="152"/>
      <c r="AR228" s="152"/>
      <c r="AS228" s="130"/>
      <c r="AT228" s="149"/>
      <c r="AY228" s="218"/>
      <c r="AZ228" s="218"/>
      <c r="BA228" s="218"/>
      <c r="BB228" s="218"/>
    </row>
    <row r="229" spans="1:54" ht="15.6" customHeight="1">
      <c r="A229" s="132">
        <v>31</v>
      </c>
      <c r="B229" s="81" t="s">
        <v>188</v>
      </c>
      <c r="C229" s="81" t="s">
        <v>74</v>
      </c>
      <c r="D229" s="85" t="s">
        <v>93</v>
      </c>
      <c r="E229" s="86" t="s">
        <v>73</v>
      </c>
      <c r="F229" s="90" t="s">
        <v>57</v>
      </c>
      <c r="G229" s="165"/>
      <c r="H229" s="16">
        <f>APRIL!AL37</f>
        <v>25</v>
      </c>
      <c r="I229" s="17">
        <f>APRIL!AM37</f>
        <v>0</v>
      </c>
      <c r="J229" s="17">
        <f>APRIL!AN37</f>
        <v>0</v>
      </c>
      <c r="K229" s="17">
        <f>APRIL!AO37</f>
        <v>0</v>
      </c>
      <c r="L229" s="17">
        <f>APRIL!AP37</f>
        <v>0</v>
      </c>
      <c r="M229" s="17">
        <f>APRIL!AQ37</f>
        <v>0</v>
      </c>
      <c r="N229" s="17">
        <f>APRIL!AR37</f>
        <v>0</v>
      </c>
      <c r="O229" s="17">
        <f>APRIL!AS37</f>
        <v>0</v>
      </c>
      <c r="P229" s="22">
        <f>APRIL!AL100</f>
        <v>25</v>
      </c>
      <c r="Q229" s="23">
        <f>APRIL!AM100</f>
        <v>0</v>
      </c>
      <c r="R229" s="23">
        <f>APRIL!AN100</f>
        <v>0</v>
      </c>
      <c r="S229" s="23">
        <f>APRIL!AO100</f>
        <v>0</v>
      </c>
      <c r="T229" s="23">
        <f>APRIL!AQ100</f>
        <v>0</v>
      </c>
      <c r="U229" s="23">
        <f>APRIL!AP100</f>
        <v>0</v>
      </c>
      <c r="V229" s="23">
        <f>APRIL!AR100</f>
        <v>0</v>
      </c>
      <c r="W229" s="23">
        <f>APRIL!AS100</f>
        <v>0</v>
      </c>
      <c r="X229" s="28">
        <f>APRIL!AL164</f>
        <v>25</v>
      </c>
      <c r="Y229" s="29">
        <f>APRIL!AM164</f>
        <v>0</v>
      </c>
      <c r="Z229" s="29">
        <f>APRIL!AN164</f>
        <v>0</v>
      </c>
      <c r="AA229" s="29"/>
      <c r="AB229" s="29"/>
      <c r="AC229" s="37"/>
      <c r="AD229" s="37"/>
      <c r="AE229" s="148"/>
      <c r="AF229" s="132"/>
      <c r="AG229" s="160"/>
      <c r="AH229" s="85">
        <f t="shared" si="48"/>
        <v>0</v>
      </c>
      <c r="AI229" s="85"/>
      <c r="AJ229" s="85"/>
      <c r="AK229" s="85"/>
      <c r="AL229" s="85"/>
      <c r="AM229" s="131"/>
      <c r="AN229" s="133"/>
      <c r="AO229" s="151"/>
      <c r="AP229" s="152"/>
      <c r="AQ229" s="152"/>
      <c r="AR229" s="152"/>
      <c r="AS229" s="130"/>
      <c r="AT229" s="149"/>
      <c r="AY229" s="218"/>
      <c r="AZ229" s="218"/>
      <c r="BA229" s="218"/>
      <c r="BB229" s="218"/>
    </row>
    <row r="230" spans="1:54" ht="15.6" customHeight="1">
      <c r="A230" s="132">
        <v>32</v>
      </c>
      <c r="B230" s="81" t="s">
        <v>173</v>
      </c>
      <c r="C230" s="81" t="s">
        <v>178</v>
      </c>
      <c r="D230" s="85" t="s">
        <v>120</v>
      </c>
      <c r="E230" s="86" t="s">
        <v>24</v>
      </c>
      <c r="F230" s="161" t="s">
        <v>184</v>
      </c>
      <c r="G230" s="165"/>
      <c r="H230" s="16">
        <f>APRIL!AL38</f>
        <v>23</v>
      </c>
      <c r="I230" s="17">
        <f>APRIL!AM38</f>
        <v>1</v>
      </c>
      <c r="J230" s="17">
        <f>APRIL!AN38</f>
        <v>1</v>
      </c>
      <c r="K230" s="17">
        <f>APRIL!AO38</f>
        <v>0</v>
      </c>
      <c r="L230" s="17">
        <f>APRIL!AP38</f>
        <v>0</v>
      </c>
      <c r="M230" s="17">
        <f>APRIL!AQ38</f>
        <v>0</v>
      </c>
      <c r="N230" s="17">
        <f>APRIL!AR38</f>
        <v>0</v>
      </c>
      <c r="O230" s="17">
        <f>APRIL!AS38</f>
        <v>0</v>
      </c>
      <c r="P230" s="22">
        <f>APRIL!AL101</f>
        <v>19</v>
      </c>
      <c r="Q230" s="23">
        <f>APRIL!AM101</f>
        <v>0</v>
      </c>
      <c r="R230" s="23">
        <f>APRIL!AN101</f>
        <v>4</v>
      </c>
      <c r="S230" s="23">
        <f>APRIL!AO101</f>
        <v>0</v>
      </c>
      <c r="T230" s="23">
        <f>APRIL!AQ101</f>
        <v>0</v>
      </c>
      <c r="U230" s="23">
        <f>APRIL!AP101</f>
        <v>0</v>
      </c>
      <c r="V230" s="23">
        <f>APRIL!AR101</f>
        <v>0</v>
      </c>
      <c r="W230" s="23">
        <f>APRIL!AS101</f>
        <v>0</v>
      </c>
      <c r="X230" s="28">
        <f>APRIL!AL165</f>
        <v>16</v>
      </c>
      <c r="Y230" s="29">
        <f>APRIL!AM165</f>
        <v>0</v>
      </c>
      <c r="Z230" s="29">
        <f>APRIL!AN165</f>
        <v>7</v>
      </c>
      <c r="AA230" s="29"/>
      <c r="AB230" s="29"/>
      <c r="AC230" s="37"/>
      <c r="AD230" s="37"/>
      <c r="AE230" s="148"/>
      <c r="AF230" s="132"/>
      <c r="AG230" s="160"/>
      <c r="AH230" s="85">
        <f t="shared" si="48"/>
        <v>11</v>
      </c>
      <c r="AI230" s="85"/>
      <c r="AJ230" s="85"/>
      <c r="AK230" s="85"/>
      <c r="AL230" s="85"/>
      <c r="AM230" s="131"/>
      <c r="AN230" s="133"/>
      <c r="AO230" s="151"/>
      <c r="AP230" s="152"/>
      <c r="AQ230" s="152"/>
      <c r="AR230" s="152"/>
      <c r="AS230" s="130"/>
      <c r="AT230" s="149"/>
      <c r="AY230" s="218"/>
      <c r="AZ230" s="218"/>
      <c r="BA230" s="218"/>
      <c r="BB230" s="218"/>
    </row>
    <row r="231" spans="1:54">
      <c r="A231" s="129">
        <v>33</v>
      </c>
      <c r="B231" s="81" t="s">
        <v>75</v>
      </c>
      <c r="C231" s="81" t="s">
        <v>76</v>
      </c>
      <c r="D231" s="85" t="s">
        <v>185</v>
      </c>
      <c r="E231" s="86" t="s">
        <v>24</v>
      </c>
      <c r="F231" s="161" t="s">
        <v>186</v>
      </c>
      <c r="G231" s="165"/>
      <c r="H231" s="16">
        <f>APRIL!AL39</f>
        <v>21</v>
      </c>
      <c r="I231" s="17">
        <f>APRIL!AM39</f>
        <v>0</v>
      </c>
      <c r="J231" s="17">
        <f>APRIL!AN39</f>
        <v>3</v>
      </c>
      <c r="K231" s="17">
        <f>APRIL!AO39</f>
        <v>0</v>
      </c>
      <c r="L231" s="17">
        <f>APRIL!AP39</f>
        <v>1</v>
      </c>
      <c r="M231" s="17">
        <f>APRIL!AQ39</f>
        <v>0</v>
      </c>
      <c r="N231" s="17">
        <f>APRIL!AR39</f>
        <v>0</v>
      </c>
      <c r="O231" s="17">
        <f>APRIL!AS39</f>
        <v>0</v>
      </c>
      <c r="P231" s="22">
        <f>APRIL!AL102</f>
        <v>20</v>
      </c>
      <c r="Q231" s="23">
        <f>APRIL!AM102</f>
        <v>0</v>
      </c>
      <c r="R231" s="23">
        <f>APRIL!AN102</f>
        <v>1</v>
      </c>
      <c r="S231" s="23">
        <f>APRIL!AO102</f>
        <v>0</v>
      </c>
      <c r="T231" s="23">
        <f>APRIL!AQ102</f>
        <v>1</v>
      </c>
      <c r="U231" s="23">
        <f>APRIL!AP102</f>
        <v>0</v>
      </c>
      <c r="V231" s="23">
        <f>APRIL!AR102</f>
        <v>0</v>
      </c>
      <c r="W231" s="23">
        <f>APRIL!AS102</f>
        <v>0</v>
      </c>
      <c r="X231" s="28">
        <f>APRIL!AL166</f>
        <v>19</v>
      </c>
      <c r="Y231" s="29">
        <f>APRIL!AM166</f>
        <v>0</v>
      </c>
      <c r="Z231" s="29">
        <f>APRIL!AN166</f>
        <v>2</v>
      </c>
      <c r="AA231" s="29"/>
      <c r="AB231" s="29"/>
      <c r="AC231" s="37"/>
      <c r="AD231" s="37"/>
      <c r="AE231" s="148"/>
      <c r="AF231" s="132"/>
      <c r="AG231" s="160"/>
      <c r="AH231" s="85">
        <f t="shared" si="48"/>
        <v>3</v>
      </c>
      <c r="AI231" s="85"/>
      <c r="AJ231" s="85"/>
      <c r="AK231" s="85"/>
      <c r="AL231" s="85"/>
      <c r="AM231" s="131"/>
      <c r="AN231" s="133"/>
      <c r="AO231" s="151"/>
      <c r="AP231" s="152"/>
      <c r="AQ231" s="152"/>
      <c r="AR231" s="152"/>
      <c r="AS231" s="130"/>
      <c r="AT231" s="149"/>
      <c r="AY231" s="218"/>
      <c r="AZ231" s="218"/>
      <c r="BA231" s="218"/>
      <c r="BB231" s="218"/>
    </row>
    <row r="232" spans="1:54" ht="15.6" customHeight="1">
      <c r="A232" s="132">
        <v>34</v>
      </c>
      <c r="B232" s="81" t="s">
        <v>108</v>
      </c>
      <c r="C232" s="93" t="s">
        <v>116</v>
      </c>
      <c r="D232" s="85" t="s">
        <v>106</v>
      </c>
      <c r="E232" s="85" t="s">
        <v>24</v>
      </c>
      <c r="F232" s="94" t="s">
        <v>107</v>
      </c>
      <c r="G232" s="165"/>
      <c r="H232" s="16">
        <f>APRIL!AL40</f>
        <v>24</v>
      </c>
      <c r="I232" s="17">
        <f>APRIL!AM40</f>
        <v>0</v>
      </c>
      <c r="J232" s="17">
        <f>APRIL!AN40</f>
        <v>0</v>
      </c>
      <c r="K232" s="17">
        <f>APRIL!AO40</f>
        <v>0</v>
      </c>
      <c r="L232" s="17">
        <f>APRIL!AP40</f>
        <v>1</v>
      </c>
      <c r="M232" s="17">
        <f>APRIL!AQ40</f>
        <v>0</v>
      </c>
      <c r="N232" s="17">
        <f>APRIL!AR40</f>
        <v>0</v>
      </c>
      <c r="O232" s="17">
        <f>APRIL!AS40</f>
        <v>0</v>
      </c>
      <c r="P232" s="22">
        <f>APRIL!AL103</f>
        <v>14</v>
      </c>
      <c r="Q232" s="23">
        <f>APRIL!AM103</f>
        <v>0</v>
      </c>
      <c r="R232" s="23">
        <f>APRIL!AN103</f>
        <v>10</v>
      </c>
      <c r="S232" s="23">
        <f>APRIL!AO103</f>
        <v>0</v>
      </c>
      <c r="T232" s="23">
        <f>APRIL!AQ103</f>
        <v>1</v>
      </c>
      <c r="U232" s="23">
        <f>APRIL!AP103</f>
        <v>0</v>
      </c>
      <c r="V232" s="23">
        <f>APRIL!AR103</f>
        <v>0</v>
      </c>
      <c r="W232" s="23">
        <f>APRIL!AS103</f>
        <v>0</v>
      </c>
      <c r="X232" s="28">
        <f>APRIL!AL167</f>
        <v>22</v>
      </c>
      <c r="Y232" s="29">
        <f>APRIL!AM167</f>
        <v>0</v>
      </c>
      <c r="Z232" s="29">
        <f>APRIL!AN167</f>
        <v>2</v>
      </c>
      <c r="AA232" s="29"/>
      <c r="AB232" s="29"/>
      <c r="AC232" s="37"/>
      <c r="AD232" s="37"/>
      <c r="AE232" s="148"/>
      <c r="AF232" s="132"/>
      <c r="AG232" s="160"/>
      <c r="AH232" s="85">
        <f t="shared" si="48"/>
        <v>12</v>
      </c>
      <c r="AI232" s="85"/>
      <c r="AJ232" s="85"/>
      <c r="AK232" s="85"/>
      <c r="AL232" s="85"/>
      <c r="AM232" s="131"/>
      <c r="AN232" s="133"/>
      <c r="AO232" s="151"/>
      <c r="AP232" s="152"/>
      <c r="AQ232" s="152"/>
      <c r="AR232" s="152"/>
      <c r="AS232" s="130"/>
      <c r="AT232" s="149"/>
      <c r="AY232" s="218"/>
      <c r="AZ232" s="218"/>
      <c r="BA232" s="218"/>
      <c r="BB232" s="218"/>
    </row>
    <row r="233" spans="1:54" ht="15.6" customHeight="1">
      <c r="A233" s="129">
        <v>35</v>
      </c>
      <c r="B233" s="81" t="s">
        <v>174</v>
      </c>
      <c r="C233" s="93" t="s">
        <v>117</v>
      </c>
      <c r="D233" s="85" t="s">
        <v>106</v>
      </c>
      <c r="E233" s="86" t="s">
        <v>24</v>
      </c>
      <c r="F233" s="94" t="s">
        <v>111</v>
      </c>
      <c r="G233" s="165"/>
      <c r="H233" s="16">
        <f>APRIL!AL41</f>
        <v>24</v>
      </c>
      <c r="I233" s="17">
        <f>APRIL!AM41</f>
        <v>1</v>
      </c>
      <c r="J233" s="17">
        <f>APRIL!AN41</f>
        <v>0</v>
      </c>
      <c r="K233" s="17">
        <f>APRIL!AO41</f>
        <v>0</v>
      </c>
      <c r="L233" s="17">
        <f>APRIL!AP41</f>
        <v>0</v>
      </c>
      <c r="M233" s="17">
        <f>APRIL!AQ41</f>
        <v>0</v>
      </c>
      <c r="N233" s="17">
        <f>APRIL!AR41</f>
        <v>0</v>
      </c>
      <c r="O233" s="17">
        <f>APRIL!AS41</f>
        <v>0</v>
      </c>
      <c r="P233" s="22">
        <f>APRIL!AL104</f>
        <v>24</v>
      </c>
      <c r="Q233" s="23">
        <f>APRIL!AM104</f>
        <v>0</v>
      </c>
      <c r="R233" s="23">
        <f>APRIL!AN104</f>
        <v>0</v>
      </c>
      <c r="S233" s="23">
        <f>APRIL!AO104</f>
        <v>0</v>
      </c>
      <c r="T233" s="23">
        <f>APRIL!AQ104</f>
        <v>0</v>
      </c>
      <c r="U233" s="23">
        <f>APRIL!AP104</f>
        <v>0</v>
      </c>
      <c r="V233" s="23">
        <f>APRIL!AR104</f>
        <v>0</v>
      </c>
      <c r="W233" s="23">
        <f>APRIL!AS104</f>
        <v>0</v>
      </c>
      <c r="X233" s="28">
        <f>APRIL!AL168</f>
        <v>19</v>
      </c>
      <c r="Y233" s="29">
        <f>APRIL!AM168</f>
        <v>0</v>
      </c>
      <c r="Z233" s="29">
        <f>APRIL!AN168</f>
        <v>5</v>
      </c>
      <c r="AA233" s="29"/>
      <c r="AB233" s="29"/>
      <c r="AC233" s="37"/>
      <c r="AD233" s="37"/>
      <c r="AE233" s="148"/>
      <c r="AF233" s="132"/>
      <c r="AG233" s="160"/>
      <c r="AH233" s="85">
        <f t="shared" si="48"/>
        <v>5</v>
      </c>
      <c r="AI233" s="85"/>
      <c r="AJ233" s="85"/>
      <c r="AK233" s="85"/>
      <c r="AL233" s="85"/>
      <c r="AM233" s="131"/>
      <c r="AN233" s="133"/>
      <c r="AO233" s="151"/>
      <c r="AP233" s="152"/>
      <c r="AQ233" s="152"/>
      <c r="AR233" s="152"/>
      <c r="AS233" s="130"/>
      <c r="AT233" s="149"/>
      <c r="AY233" s="218"/>
      <c r="AZ233" s="218"/>
      <c r="BA233" s="218"/>
      <c r="BB233" s="218"/>
    </row>
    <row r="234" spans="1:54" ht="15.6" customHeight="1">
      <c r="A234" s="132">
        <v>36</v>
      </c>
      <c r="B234" s="81" t="s">
        <v>112</v>
      </c>
      <c r="C234" s="93" t="s">
        <v>118</v>
      </c>
      <c r="D234" s="85" t="s">
        <v>106</v>
      </c>
      <c r="E234" s="86" t="s">
        <v>24</v>
      </c>
      <c r="F234" s="94" t="s">
        <v>113</v>
      </c>
      <c r="G234" s="165"/>
      <c r="H234" s="16">
        <f>APRIL!AL42</f>
        <v>19</v>
      </c>
      <c r="I234" s="17">
        <f>APRIL!AM42</f>
        <v>0</v>
      </c>
      <c r="J234" s="17">
        <f>APRIL!AN42</f>
        <v>3</v>
      </c>
      <c r="K234" s="17">
        <f>APRIL!AO42</f>
        <v>0</v>
      </c>
      <c r="L234" s="17">
        <f>APRIL!AP42</f>
        <v>3</v>
      </c>
      <c r="M234" s="17">
        <f>APRIL!AQ42</f>
        <v>0</v>
      </c>
      <c r="N234" s="17">
        <f>APRIL!AR42</f>
        <v>0</v>
      </c>
      <c r="O234" s="17">
        <f>APRIL!AS42</f>
        <v>0</v>
      </c>
      <c r="P234" s="22">
        <f>APRIL!AL105</f>
        <v>19</v>
      </c>
      <c r="Q234" s="23">
        <f>APRIL!AM105</f>
        <v>0</v>
      </c>
      <c r="R234" s="23">
        <f>APRIL!AN105</f>
        <v>0</v>
      </c>
      <c r="S234" s="23">
        <f>APRIL!AO105</f>
        <v>0</v>
      </c>
      <c r="T234" s="23">
        <f>APRIL!AQ105</f>
        <v>3</v>
      </c>
      <c r="U234" s="23">
        <f>APRIL!AP105</f>
        <v>0</v>
      </c>
      <c r="V234" s="23">
        <f>APRIL!AR105</f>
        <v>0</v>
      </c>
      <c r="W234" s="23">
        <f>APRIL!AS105</f>
        <v>0</v>
      </c>
      <c r="X234" s="28">
        <f>APRIL!AL169</f>
        <v>16</v>
      </c>
      <c r="Y234" s="29">
        <f>APRIL!AM169</f>
        <v>0</v>
      </c>
      <c r="Z234" s="29">
        <f>APRIL!AN169</f>
        <v>2</v>
      </c>
      <c r="AA234" s="29"/>
      <c r="AB234" s="29"/>
      <c r="AC234" s="37"/>
      <c r="AD234" s="37"/>
      <c r="AE234" s="148"/>
      <c r="AF234" s="132"/>
      <c r="AG234" s="160"/>
      <c r="AH234" s="85">
        <f t="shared" si="48"/>
        <v>2</v>
      </c>
      <c r="AI234" s="85"/>
      <c r="AJ234" s="85"/>
      <c r="AK234" s="85"/>
      <c r="AL234" s="85"/>
      <c r="AM234" s="131"/>
      <c r="AN234" s="133"/>
      <c r="AO234" s="151"/>
      <c r="AP234" s="152"/>
      <c r="AQ234" s="152"/>
      <c r="AR234" s="152"/>
      <c r="AS234" s="130"/>
      <c r="AT234" s="149"/>
      <c r="AY234" s="218"/>
      <c r="AZ234" s="218"/>
      <c r="BA234" s="218"/>
      <c r="BB234" s="218"/>
    </row>
    <row r="235" spans="1:54" ht="15.6" customHeight="1">
      <c r="A235" s="129">
        <v>37</v>
      </c>
      <c r="B235" s="81" t="s">
        <v>81</v>
      </c>
      <c r="C235" s="93" t="s">
        <v>119</v>
      </c>
      <c r="D235" s="85" t="s">
        <v>114</v>
      </c>
      <c r="E235" s="86" t="s">
        <v>24</v>
      </c>
      <c r="F235" s="94" t="s">
        <v>115</v>
      </c>
      <c r="G235" s="165"/>
      <c r="H235" s="16">
        <f>APRIL!AL43</f>
        <v>24</v>
      </c>
      <c r="I235" s="17">
        <f>APRIL!AM43</f>
        <v>1</v>
      </c>
      <c r="J235" s="17">
        <f>APRIL!AN43</f>
        <v>0</v>
      </c>
      <c r="K235" s="17">
        <f>APRIL!AO43</f>
        <v>0</v>
      </c>
      <c r="L235" s="17">
        <f>APRIL!AP43</f>
        <v>0</v>
      </c>
      <c r="M235" s="17">
        <f>APRIL!AQ43</f>
        <v>0</v>
      </c>
      <c r="N235" s="17">
        <f>APRIL!AR43</f>
        <v>0</v>
      </c>
      <c r="O235" s="17">
        <f>APRIL!AS43</f>
        <v>0</v>
      </c>
      <c r="P235" s="22">
        <f>APRIL!AL106</f>
        <v>24</v>
      </c>
      <c r="Q235" s="23">
        <f>APRIL!AM106</f>
        <v>0</v>
      </c>
      <c r="R235" s="23">
        <f>APRIL!AN106</f>
        <v>0</v>
      </c>
      <c r="S235" s="23">
        <f>APRIL!AO106</f>
        <v>0</v>
      </c>
      <c r="T235" s="23">
        <f>APRIL!AQ106</f>
        <v>0</v>
      </c>
      <c r="U235" s="23">
        <f>APRIL!AP106</f>
        <v>0</v>
      </c>
      <c r="V235" s="23">
        <f>APRIL!AR106</f>
        <v>0</v>
      </c>
      <c r="W235" s="23">
        <f>APRIL!AS106</f>
        <v>0</v>
      </c>
      <c r="X235" s="28">
        <f>APRIL!AL170</f>
        <v>24</v>
      </c>
      <c r="Y235" s="29">
        <f>APRIL!AM170</f>
        <v>0</v>
      </c>
      <c r="Z235" s="29">
        <f>APRIL!AN170</f>
        <v>0</v>
      </c>
      <c r="AA235" s="29"/>
      <c r="AB235" s="29"/>
      <c r="AC235" s="37"/>
      <c r="AD235" s="37"/>
      <c r="AE235" s="148"/>
      <c r="AF235" s="132"/>
      <c r="AG235" s="160"/>
      <c r="AH235" s="85">
        <f t="shared" si="48"/>
        <v>0</v>
      </c>
      <c r="AI235" s="85"/>
      <c r="AJ235" s="85"/>
      <c r="AK235" s="85"/>
      <c r="AL235" s="85"/>
      <c r="AM235" s="131"/>
      <c r="AN235" s="133"/>
      <c r="AO235" s="151"/>
      <c r="AP235" s="152"/>
      <c r="AQ235" s="152"/>
      <c r="AR235" s="152"/>
      <c r="AS235" s="130"/>
      <c r="AT235" s="149"/>
      <c r="AY235" s="218"/>
      <c r="AZ235" s="218"/>
      <c r="BA235" s="218"/>
      <c r="BB235" s="218"/>
    </row>
    <row r="236" spans="1:54" ht="15.6" customHeight="1">
      <c r="A236" s="132">
        <v>38</v>
      </c>
      <c r="B236" s="81" t="s">
        <v>125</v>
      </c>
      <c r="C236" s="81" t="s">
        <v>126</v>
      </c>
      <c r="D236" s="85"/>
      <c r="E236" s="86" t="s">
        <v>77</v>
      </c>
      <c r="F236" s="95" t="s">
        <v>142</v>
      </c>
      <c r="G236" s="165"/>
      <c r="H236" s="16">
        <f>APRIL!AL44</f>
        <v>23</v>
      </c>
      <c r="I236" s="17">
        <f>APRIL!AM44</f>
        <v>0</v>
      </c>
      <c r="J236" s="17">
        <f>APRIL!AN44</f>
        <v>2</v>
      </c>
      <c r="K236" s="17">
        <f>APRIL!AO44</f>
        <v>0</v>
      </c>
      <c r="L236" s="17">
        <f>APRIL!AP44</f>
        <v>0</v>
      </c>
      <c r="M236" s="17">
        <f>APRIL!AQ44</f>
        <v>0</v>
      </c>
      <c r="N236" s="17">
        <f>APRIL!AR44</f>
        <v>0</v>
      </c>
      <c r="O236" s="17">
        <f>APRIL!AS44</f>
        <v>0</v>
      </c>
      <c r="P236" s="22">
        <f>APRIL!AL107</f>
        <v>5</v>
      </c>
      <c r="Q236" s="23">
        <f>APRIL!AM107</f>
        <v>0</v>
      </c>
      <c r="R236" s="23">
        <f>APRIL!AN107</f>
        <v>18</v>
      </c>
      <c r="S236" s="23">
        <f>APRIL!AO107</f>
        <v>0</v>
      </c>
      <c r="T236" s="23">
        <f>APRIL!AQ107</f>
        <v>0</v>
      </c>
      <c r="U236" s="23">
        <f>APRIL!AP107</f>
        <v>0</v>
      </c>
      <c r="V236" s="23">
        <f>APRIL!AR107</f>
        <v>0</v>
      </c>
      <c r="W236" s="23">
        <f>APRIL!AS107</f>
        <v>0</v>
      </c>
      <c r="X236" s="28">
        <f>APRIL!AL171</f>
        <v>8</v>
      </c>
      <c r="Y236" s="29">
        <f>APRIL!AM171</f>
        <v>0</v>
      </c>
      <c r="Z236" s="29">
        <f>APRIL!AN171</f>
        <v>15</v>
      </c>
      <c r="AA236" s="29"/>
      <c r="AB236" s="29"/>
      <c r="AC236" s="37"/>
      <c r="AD236" s="37"/>
      <c r="AE236" s="148"/>
      <c r="AF236" s="132"/>
      <c r="AG236" s="160"/>
      <c r="AH236" s="85">
        <f t="shared" si="48"/>
        <v>33</v>
      </c>
      <c r="AI236" s="85"/>
      <c r="AJ236" s="85"/>
      <c r="AK236" s="85"/>
      <c r="AL236" s="85"/>
      <c r="AM236" s="131"/>
      <c r="AN236" s="133"/>
      <c r="AO236" s="151"/>
      <c r="AP236" s="152"/>
      <c r="AQ236" s="152"/>
      <c r="AR236" s="152"/>
      <c r="AS236" s="130"/>
      <c r="AT236" s="149"/>
      <c r="AY236" s="218"/>
      <c r="AZ236" s="218"/>
      <c r="BA236" s="218"/>
      <c r="BB236" s="218"/>
    </row>
    <row r="237" spans="1:54" ht="15.6" customHeight="1">
      <c r="A237" s="129">
        <v>39</v>
      </c>
      <c r="B237" s="81" t="s">
        <v>80</v>
      </c>
      <c r="C237" s="81" t="s">
        <v>127</v>
      </c>
      <c r="D237" s="85"/>
      <c r="E237" s="86" t="s">
        <v>77</v>
      </c>
      <c r="F237" s="95" t="s">
        <v>71</v>
      </c>
      <c r="G237" s="134"/>
      <c r="H237" s="16">
        <f>APRIL!AL45</f>
        <v>21</v>
      </c>
      <c r="I237" s="17">
        <f>APRIL!AM45</f>
        <v>2</v>
      </c>
      <c r="J237" s="17">
        <f>APRIL!AN45</f>
        <v>1</v>
      </c>
      <c r="K237" s="17">
        <f>APRIL!AO45</f>
        <v>0</v>
      </c>
      <c r="L237" s="17">
        <f>APRIL!AP45</f>
        <v>1</v>
      </c>
      <c r="M237" s="17">
        <f>APRIL!AQ45</f>
        <v>0</v>
      </c>
      <c r="N237" s="17">
        <f>APRIL!AR45</f>
        <v>0</v>
      </c>
      <c r="O237" s="17">
        <f>APRIL!AS45</f>
        <v>0</v>
      </c>
      <c r="P237" s="22">
        <f>APRIL!AL108</f>
        <v>5</v>
      </c>
      <c r="Q237" s="23">
        <f>APRIL!AM108</f>
        <v>0</v>
      </c>
      <c r="R237" s="23">
        <f>APRIL!AN108</f>
        <v>16</v>
      </c>
      <c r="S237" s="23">
        <f>APRIL!AO108</f>
        <v>0</v>
      </c>
      <c r="T237" s="23">
        <f>APRIL!AQ108</f>
        <v>0</v>
      </c>
      <c r="U237" s="23">
        <f>APRIL!AP108</f>
        <v>1</v>
      </c>
      <c r="V237" s="23">
        <f>APRIL!AR108</f>
        <v>0</v>
      </c>
      <c r="W237" s="23">
        <f>APRIL!AS108</f>
        <v>0</v>
      </c>
      <c r="X237" s="28">
        <f>APRIL!AL172</f>
        <v>5</v>
      </c>
      <c r="Y237" s="29">
        <f>APRIL!AM172</f>
        <v>0</v>
      </c>
      <c r="Z237" s="29">
        <f>APRIL!AN172</f>
        <v>16</v>
      </c>
      <c r="AA237" s="29"/>
      <c r="AB237" s="29"/>
      <c r="AC237" s="37"/>
      <c r="AD237" s="37"/>
      <c r="AE237" s="148"/>
      <c r="AF237" s="132"/>
      <c r="AG237" s="160"/>
      <c r="AH237" s="85">
        <f t="shared" si="48"/>
        <v>32</v>
      </c>
      <c r="AI237" s="85"/>
      <c r="AJ237" s="85"/>
      <c r="AK237" s="85"/>
      <c r="AL237" s="85"/>
      <c r="AM237" s="131"/>
      <c r="AN237" s="133"/>
      <c r="AO237" s="151"/>
      <c r="AP237" s="152"/>
      <c r="AQ237" s="152"/>
      <c r="AR237" s="152"/>
      <c r="AS237" s="130"/>
      <c r="AT237" s="149"/>
      <c r="AY237" s="218"/>
      <c r="AZ237" s="218"/>
      <c r="BA237" s="218"/>
      <c r="BB237" s="218"/>
    </row>
    <row r="238" spans="1:54" ht="15.6" customHeight="1">
      <c r="A238" s="132">
        <v>40</v>
      </c>
      <c r="B238" s="81" t="s">
        <v>128</v>
      </c>
      <c r="C238" s="81" t="s">
        <v>129</v>
      </c>
      <c r="D238" s="86"/>
      <c r="E238" s="86" t="s">
        <v>77</v>
      </c>
      <c r="F238" s="95" t="s">
        <v>143</v>
      </c>
      <c r="G238" s="134"/>
      <c r="H238" s="16">
        <f>APRIL!AL46</f>
        <v>25</v>
      </c>
      <c r="I238" s="17">
        <f>APRIL!AM46</f>
        <v>0</v>
      </c>
      <c r="J238" s="17">
        <f>APRIL!AN46</f>
        <v>0</v>
      </c>
      <c r="K238" s="17">
        <f>APRIL!AO46</f>
        <v>0</v>
      </c>
      <c r="L238" s="17">
        <f>APRIL!AP46</f>
        <v>0</v>
      </c>
      <c r="M238" s="17">
        <f>APRIL!AQ46</f>
        <v>0</v>
      </c>
      <c r="N238" s="17">
        <f>APRIL!AR46</f>
        <v>0</v>
      </c>
      <c r="O238" s="17">
        <f>APRIL!AS46</f>
        <v>0</v>
      </c>
      <c r="P238" s="22">
        <f>APRIL!AL109</f>
        <v>25</v>
      </c>
      <c r="Q238" s="23">
        <f>APRIL!AM109</f>
        <v>0</v>
      </c>
      <c r="R238" s="23">
        <f>APRIL!AN109</f>
        <v>0</v>
      </c>
      <c r="S238" s="23">
        <f>APRIL!AO109</f>
        <v>0</v>
      </c>
      <c r="T238" s="23">
        <f>APRIL!AQ109</f>
        <v>0</v>
      </c>
      <c r="U238" s="23">
        <f>APRIL!AP109</f>
        <v>0</v>
      </c>
      <c r="V238" s="23">
        <f>APRIL!AR109</f>
        <v>0</v>
      </c>
      <c r="W238" s="23">
        <f>APRIL!AS109</f>
        <v>0</v>
      </c>
      <c r="X238" s="28">
        <f>APRIL!AL173</f>
        <v>25</v>
      </c>
      <c r="Y238" s="29">
        <f>APRIL!AM173</f>
        <v>0</v>
      </c>
      <c r="Z238" s="29">
        <f>APRIL!AN173</f>
        <v>0</v>
      </c>
      <c r="AA238" s="29"/>
      <c r="AB238" s="29"/>
      <c r="AC238" s="37"/>
      <c r="AD238" s="37"/>
      <c r="AE238" s="148"/>
      <c r="AF238" s="132"/>
      <c r="AG238" s="160"/>
      <c r="AH238" s="85">
        <f t="shared" si="48"/>
        <v>0</v>
      </c>
      <c r="AI238" s="85"/>
      <c r="AJ238" s="85"/>
      <c r="AK238" s="85"/>
      <c r="AL238" s="85"/>
      <c r="AM238" s="131"/>
      <c r="AN238" s="133"/>
      <c r="AO238" s="151"/>
      <c r="AP238" s="152"/>
      <c r="AQ238" s="152"/>
      <c r="AR238" s="152"/>
      <c r="AS238" s="130"/>
      <c r="AT238" s="149"/>
      <c r="AY238" s="218"/>
      <c r="AZ238" s="218"/>
      <c r="BA238" s="218"/>
      <c r="BB238" s="218"/>
    </row>
    <row r="239" spans="1:54" ht="15.6" customHeight="1">
      <c r="A239" s="129">
        <v>41</v>
      </c>
      <c r="B239" s="81" t="s">
        <v>130</v>
      </c>
      <c r="C239" s="81" t="s">
        <v>131</v>
      </c>
      <c r="D239" s="86"/>
      <c r="E239" s="86" t="s">
        <v>77</v>
      </c>
      <c r="F239" s="95" t="s">
        <v>144</v>
      </c>
      <c r="G239" s="134"/>
      <c r="H239" s="16">
        <f>APRIL!AL47</f>
        <v>25</v>
      </c>
      <c r="I239" s="17">
        <f>APRIL!AM47</f>
        <v>0</v>
      </c>
      <c r="J239" s="17">
        <f>APRIL!AN47</f>
        <v>0</v>
      </c>
      <c r="K239" s="17">
        <f>APRIL!AO47</f>
        <v>0</v>
      </c>
      <c r="L239" s="17">
        <f>APRIL!AP47</f>
        <v>0</v>
      </c>
      <c r="M239" s="17">
        <f>APRIL!AQ47</f>
        <v>0</v>
      </c>
      <c r="N239" s="17">
        <f>APRIL!AR47</f>
        <v>0</v>
      </c>
      <c r="O239" s="17">
        <f>APRIL!AS47</f>
        <v>0</v>
      </c>
      <c r="P239" s="22">
        <f>APRIL!AL110</f>
        <v>25</v>
      </c>
      <c r="Q239" s="23">
        <f>APRIL!AM110</f>
        <v>0</v>
      </c>
      <c r="R239" s="23">
        <f>APRIL!AN110</f>
        <v>0</v>
      </c>
      <c r="S239" s="23">
        <f>APRIL!AO110</f>
        <v>0</v>
      </c>
      <c r="T239" s="23">
        <f>APRIL!AQ110</f>
        <v>0</v>
      </c>
      <c r="U239" s="23">
        <f>APRIL!AP110</f>
        <v>0</v>
      </c>
      <c r="V239" s="23">
        <f>APRIL!AR110</f>
        <v>0</v>
      </c>
      <c r="W239" s="23">
        <f>APRIL!AS110</f>
        <v>0</v>
      </c>
      <c r="X239" s="28">
        <f>APRIL!AL174</f>
        <v>25</v>
      </c>
      <c r="Y239" s="29">
        <f>APRIL!AM174</f>
        <v>0</v>
      </c>
      <c r="Z239" s="29">
        <f>APRIL!AN174</f>
        <v>0</v>
      </c>
      <c r="AA239" s="29"/>
      <c r="AB239" s="29"/>
      <c r="AC239" s="37"/>
      <c r="AD239" s="37"/>
      <c r="AE239" s="148"/>
      <c r="AF239" s="132"/>
      <c r="AG239" s="160"/>
      <c r="AH239" s="85">
        <f t="shared" si="48"/>
        <v>0</v>
      </c>
      <c r="AI239" s="85"/>
      <c r="AJ239" s="85"/>
      <c r="AK239" s="85"/>
      <c r="AL239" s="85"/>
      <c r="AM239" s="131"/>
      <c r="AN239" s="133"/>
      <c r="AO239" s="151"/>
      <c r="AP239" s="152"/>
      <c r="AQ239" s="152"/>
      <c r="AR239" s="152"/>
      <c r="AS239" s="130"/>
      <c r="AT239" s="149"/>
      <c r="AY239" s="218"/>
      <c r="AZ239" s="218"/>
      <c r="BA239" s="218"/>
      <c r="BB239" s="218"/>
    </row>
    <row r="240" spans="1:54" ht="15.6" customHeight="1">
      <c r="A240" s="132">
        <v>42</v>
      </c>
      <c r="B240" s="81" t="s">
        <v>78</v>
      </c>
      <c r="C240" s="81" t="s">
        <v>132</v>
      </c>
      <c r="D240" s="86"/>
      <c r="E240" s="86" t="s">
        <v>77</v>
      </c>
      <c r="F240" s="95" t="s">
        <v>143</v>
      </c>
      <c r="G240" s="134"/>
      <c r="H240" s="16">
        <f>APRIL!AL48</f>
        <v>25</v>
      </c>
      <c r="I240" s="17">
        <f>APRIL!AM48</f>
        <v>0</v>
      </c>
      <c r="J240" s="17">
        <f>APRIL!AN48</f>
        <v>0</v>
      </c>
      <c r="K240" s="17">
        <f>APRIL!AO48</f>
        <v>0</v>
      </c>
      <c r="L240" s="17">
        <f>APRIL!AP48</f>
        <v>0</v>
      </c>
      <c r="M240" s="17">
        <f>APRIL!AQ48</f>
        <v>0</v>
      </c>
      <c r="N240" s="17">
        <f>APRIL!AR48</f>
        <v>0</v>
      </c>
      <c r="O240" s="17">
        <f>APRIL!AS48</f>
        <v>0</v>
      </c>
      <c r="P240" s="22">
        <f>APRIL!AL111</f>
        <v>24</v>
      </c>
      <c r="Q240" s="23">
        <f>APRIL!AM111</f>
        <v>0</v>
      </c>
      <c r="R240" s="23">
        <f>APRIL!AN111</f>
        <v>1</v>
      </c>
      <c r="S240" s="23">
        <f>APRIL!AO111</f>
        <v>0</v>
      </c>
      <c r="T240" s="23">
        <f>APRIL!AQ111</f>
        <v>0</v>
      </c>
      <c r="U240" s="23">
        <f>APRIL!AP111</f>
        <v>0</v>
      </c>
      <c r="V240" s="23">
        <f>APRIL!AR111</f>
        <v>0</v>
      </c>
      <c r="W240" s="23">
        <f>APRIL!AS111</f>
        <v>0</v>
      </c>
      <c r="X240" s="28">
        <f>APRIL!AL175</f>
        <v>25</v>
      </c>
      <c r="Y240" s="29">
        <f>APRIL!AM175</f>
        <v>0</v>
      </c>
      <c r="Z240" s="29">
        <f>APRIL!AN175</f>
        <v>0</v>
      </c>
      <c r="AA240" s="29"/>
      <c r="AB240" s="29"/>
      <c r="AC240" s="37"/>
      <c r="AD240" s="37"/>
      <c r="AE240" s="148"/>
      <c r="AF240" s="132"/>
      <c r="AG240" s="160"/>
      <c r="AH240" s="85">
        <f t="shared" si="48"/>
        <v>1</v>
      </c>
      <c r="AI240" s="85"/>
      <c r="AJ240" s="85"/>
      <c r="AK240" s="85"/>
      <c r="AL240" s="85"/>
      <c r="AM240" s="131"/>
      <c r="AN240" s="133"/>
      <c r="AO240" s="151"/>
      <c r="AP240" s="152"/>
      <c r="AQ240" s="152"/>
      <c r="AR240" s="152"/>
      <c r="AS240" s="130"/>
      <c r="AT240" s="149"/>
      <c r="AY240" s="218"/>
      <c r="AZ240" s="218"/>
      <c r="BA240" s="218"/>
      <c r="BB240" s="218"/>
    </row>
    <row r="241" spans="1:54" ht="15.6" customHeight="1">
      <c r="A241" s="129">
        <v>43</v>
      </c>
      <c r="B241" s="81" t="s">
        <v>79</v>
      </c>
      <c r="C241" s="81" t="s">
        <v>167</v>
      </c>
      <c r="D241" s="85"/>
      <c r="E241" s="86" t="s">
        <v>77</v>
      </c>
      <c r="F241" s="95" t="s">
        <v>144</v>
      </c>
      <c r="G241" s="134"/>
      <c r="H241" s="16">
        <f>APRIL!AL49</f>
        <v>23</v>
      </c>
      <c r="I241" s="17">
        <f>APRIL!AM49</f>
        <v>0</v>
      </c>
      <c r="J241" s="17">
        <f>APRIL!AN49</f>
        <v>2</v>
      </c>
      <c r="K241" s="17">
        <f>APRIL!AO49</f>
        <v>0</v>
      </c>
      <c r="L241" s="17">
        <f>APRIL!AP49</f>
        <v>0</v>
      </c>
      <c r="M241" s="17">
        <f>APRIL!AQ49</f>
        <v>0</v>
      </c>
      <c r="N241" s="17">
        <f>APRIL!AR49</f>
        <v>0</v>
      </c>
      <c r="O241" s="17">
        <f>APRIL!AS49</f>
        <v>0</v>
      </c>
      <c r="P241" s="22">
        <f>APRIL!AL112</f>
        <v>8</v>
      </c>
      <c r="Q241" s="23">
        <f>APRIL!AM112</f>
        <v>0</v>
      </c>
      <c r="R241" s="23">
        <f>APRIL!AN112</f>
        <v>15</v>
      </c>
      <c r="S241" s="23">
        <f>APRIL!AO112</f>
        <v>0</v>
      </c>
      <c r="T241" s="23">
        <f>APRIL!AQ112</f>
        <v>0</v>
      </c>
      <c r="U241" s="23">
        <f>APRIL!AP112</f>
        <v>0</v>
      </c>
      <c r="V241" s="23">
        <f>APRIL!AR112</f>
        <v>0</v>
      </c>
      <c r="W241" s="23">
        <f>APRIL!AS112</f>
        <v>0</v>
      </c>
      <c r="X241" s="28">
        <f>APRIL!AL176</f>
        <v>22</v>
      </c>
      <c r="Y241" s="29">
        <f>APRIL!AM176</f>
        <v>0</v>
      </c>
      <c r="Z241" s="29">
        <f>APRIL!AN176</f>
        <v>1</v>
      </c>
      <c r="AA241" s="29"/>
      <c r="AB241" s="29"/>
      <c r="AC241" s="37"/>
      <c r="AD241" s="37"/>
      <c r="AE241" s="148"/>
      <c r="AF241" s="132"/>
      <c r="AG241" s="160"/>
      <c r="AH241" s="85">
        <f t="shared" si="48"/>
        <v>16</v>
      </c>
      <c r="AI241" s="85"/>
      <c r="AJ241" s="85"/>
      <c r="AK241" s="85"/>
      <c r="AL241" s="85"/>
      <c r="AM241" s="131"/>
      <c r="AN241" s="133"/>
      <c r="AO241" s="151"/>
      <c r="AP241" s="152"/>
      <c r="AQ241" s="152"/>
      <c r="AR241" s="152"/>
      <c r="AS241" s="130"/>
      <c r="AT241" s="149"/>
      <c r="AY241" s="218"/>
      <c r="AZ241" s="218"/>
      <c r="BA241" s="218"/>
      <c r="BB241" s="218"/>
    </row>
    <row r="242" spans="1:54" ht="15.6" customHeight="1">
      <c r="A242" s="132">
        <v>44</v>
      </c>
      <c r="B242" s="81" t="s">
        <v>133</v>
      </c>
      <c r="C242" s="81" t="s">
        <v>134</v>
      </c>
      <c r="D242" s="85"/>
      <c r="E242" s="86" t="s">
        <v>77</v>
      </c>
      <c r="F242" s="95" t="s">
        <v>144</v>
      </c>
      <c r="G242" s="134"/>
      <c r="H242" s="16">
        <f>APRIL!AL50</f>
        <v>14</v>
      </c>
      <c r="I242" s="17">
        <f>APRIL!AM50</f>
        <v>0</v>
      </c>
      <c r="J242" s="17">
        <f>APRIL!AN50</f>
        <v>11</v>
      </c>
      <c r="K242" s="17">
        <f>APRIL!AO50</f>
        <v>0</v>
      </c>
      <c r="L242" s="17">
        <f>APRIL!AP50</f>
        <v>0</v>
      </c>
      <c r="M242" s="17">
        <f>APRIL!AQ50</f>
        <v>0</v>
      </c>
      <c r="N242" s="17">
        <f>APRIL!AR50</f>
        <v>0</v>
      </c>
      <c r="O242" s="17">
        <f>APRIL!AS50</f>
        <v>0</v>
      </c>
      <c r="P242" s="22">
        <f>APRIL!AL113</f>
        <v>3</v>
      </c>
      <c r="Q242" s="23">
        <f>APRIL!AM113</f>
        <v>0</v>
      </c>
      <c r="R242" s="23">
        <f>APRIL!AN113</f>
        <v>11</v>
      </c>
      <c r="S242" s="23">
        <f>APRIL!AO113</f>
        <v>0</v>
      </c>
      <c r="T242" s="23">
        <f>APRIL!AQ113</f>
        <v>0</v>
      </c>
      <c r="U242" s="23">
        <f>APRIL!AP113</f>
        <v>0</v>
      </c>
      <c r="V242" s="23">
        <f>APRIL!AR113</f>
        <v>0</v>
      </c>
      <c r="W242" s="23">
        <f>APRIL!AS113</f>
        <v>0</v>
      </c>
      <c r="X242" s="28">
        <f>APRIL!AL177</f>
        <v>14</v>
      </c>
      <c r="Y242" s="29">
        <f>APRIL!AM177</f>
        <v>0</v>
      </c>
      <c r="Z242" s="29">
        <f>APRIL!AN177</f>
        <v>0</v>
      </c>
      <c r="AA242" s="29"/>
      <c r="AB242" s="29"/>
      <c r="AC242" s="37"/>
      <c r="AD242" s="37"/>
      <c r="AE242" s="148"/>
      <c r="AF242" s="132"/>
      <c r="AG242" s="160"/>
      <c r="AH242" s="85">
        <f t="shared" si="48"/>
        <v>11</v>
      </c>
      <c r="AI242" s="85"/>
      <c r="AJ242" s="85"/>
      <c r="AK242" s="85"/>
      <c r="AL242" s="85"/>
      <c r="AM242" s="131"/>
      <c r="AN242" s="133"/>
      <c r="AO242" s="151"/>
      <c r="AP242" s="152"/>
      <c r="AQ242" s="152"/>
      <c r="AR242" s="152"/>
      <c r="AS242" s="130"/>
      <c r="AT242" s="149"/>
      <c r="AY242" s="218"/>
      <c r="AZ242" s="218"/>
      <c r="BA242" s="218"/>
      <c r="BB242" s="218"/>
    </row>
    <row r="243" spans="1:54" ht="15.6" customHeight="1">
      <c r="A243" s="129">
        <v>45</v>
      </c>
      <c r="B243" s="81" t="s">
        <v>135</v>
      </c>
      <c r="C243" s="81" t="s">
        <v>136</v>
      </c>
      <c r="D243" s="85"/>
      <c r="E243" s="86" t="s">
        <v>77</v>
      </c>
      <c r="F243" s="96" t="s">
        <v>145</v>
      </c>
      <c r="G243" s="134"/>
      <c r="H243" s="16">
        <f>APRIL!AL51</f>
        <v>23</v>
      </c>
      <c r="I243" s="17">
        <f>APRIL!AM51</f>
        <v>1</v>
      </c>
      <c r="J243" s="17">
        <f>APRIL!AN51</f>
        <v>1</v>
      </c>
      <c r="K243" s="17">
        <f>APRIL!AO51</f>
        <v>0</v>
      </c>
      <c r="L243" s="17">
        <f>APRIL!AP51</f>
        <v>0</v>
      </c>
      <c r="M243" s="17">
        <f>APRIL!AQ51</f>
        <v>0</v>
      </c>
      <c r="N243" s="17">
        <f>APRIL!AR51</f>
        <v>0</v>
      </c>
      <c r="O243" s="17">
        <f>APRIL!AS51</f>
        <v>0</v>
      </c>
      <c r="P243" s="22">
        <f>APRIL!AL114</f>
        <v>23</v>
      </c>
      <c r="Q243" s="23">
        <f>APRIL!AM114</f>
        <v>0</v>
      </c>
      <c r="R243" s="23">
        <f>APRIL!AN114</f>
        <v>0</v>
      </c>
      <c r="S243" s="23">
        <f>APRIL!AO114</f>
        <v>0</v>
      </c>
      <c r="T243" s="23">
        <f>APRIL!AQ114</f>
        <v>0</v>
      </c>
      <c r="U243" s="23">
        <f>APRIL!AP114</f>
        <v>0</v>
      </c>
      <c r="V243" s="23">
        <f>APRIL!AR114</f>
        <v>0</v>
      </c>
      <c r="W243" s="23">
        <f>APRIL!AS114</f>
        <v>0</v>
      </c>
      <c r="X243" s="28">
        <f>APRIL!AL178</f>
        <v>15</v>
      </c>
      <c r="Y243" s="29">
        <f>APRIL!AM178</f>
        <v>0</v>
      </c>
      <c r="Z243" s="29">
        <f>APRIL!AN178</f>
        <v>8</v>
      </c>
      <c r="AA243" s="29"/>
      <c r="AB243" s="29"/>
      <c r="AC243" s="37"/>
      <c r="AD243" s="37"/>
      <c r="AE243" s="148"/>
      <c r="AF243" s="132"/>
      <c r="AG243" s="160"/>
      <c r="AH243" s="85">
        <f t="shared" si="48"/>
        <v>8</v>
      </c>
      <c r="AI243" s="85"/>
      <c r="AJ243" s="85"/>
      <c r="AK243" s="85"/>
      <c r="AL243" s="85"/>
      <c r="AM243" s="131"/>
      <c r="AN243" s="133"/>
      <c r="AO243" s="151"/>
      <c r="AP243" s="152"/>
      <c r="AQ243" s="152"/>
      <c r="AR243" s="152"/>
      <c r="AS243" s="130"/>
      <c r="AT243" s="149"/>
      <c r="AY243" s="218"/>
      <c r="AZ243" s="218"/>
      <c r="BA243" s="218"/>
      <c r="BB243" s="218"/>
    </row>
    <row r="244" spans="1:54" ht="15.6" customHeight="1">
      <c r="A244" s="132">
        <v>46</v>
      </c>
      <c r="B244" s="98" t="s">
        <v>109</v>
      </c>
      <c r="C244" s="81" t="s">
        <v>137</v>
      </c>
      <c r="D244" s="85"/>
      <c r="E244" s="86" t="s">
        <v>77</v>
      </c>
      <c r="F244" s="96" t="s">
        <v>145</v>
      </c>
      <c r="G244" s="135"/>
      <c r="H244" s="16">
        <f>APRIL!AL52</f>
        <v>24</v>
      </c>
      <c r="I244" s="17">
        <f>APRIL!AM52</f>
        <v>1</v>
      </c>
      <c r="J244" s="17">
        <f>APRIL!AN52</f>
        <v>0</v>
      </c>
      <c r="K244" s="17">
        <f>APRIL!AO52</f>
        <v>0</v>
      </c>
      <c r="L244" s="17">
        <f>APRIL!AP52</f>
        <v>0</v>
      </c>
      <c r="M244" s="17">
        <f>APRIL!AQ52</f>
        <v>0</v>
      </c>
      <c r="N244" s="17">
        <f>APRIL!AR52</f>
        <v>0</v>
      </c>
      <c r="O244" s="17">
        <f>APRIL!AS52</f>
        <v>0</v>
      </c>
      <c r="P244" s="22">
        <f>APRIL!AL115</f>
        <v>24</v>
      </c>
      <c r="Q244" s="23">
        <f>APRIL!AM115</f>
        <v>0</v>
      </c>
      <c r="R244" s="23">
        <f>APRIL!AN115</f>
        <v>0</v>
      </c>
      <c r="S244" s="23">
        <f>APRIL!AO115</f>
        <v>0</v>
      </c>
      <c r="T244" s="23">
        <f>APRIL!AQ115</f>
        <v>0</v>
      </c>
      <c r="U244" s="23">
        <f>APRIL!AP115</f>
        <v>0</v>
      </c>
      <c r="V244" s="23">
        <f>APRIL!AR115</f>
        <v>0</v>
      </c>
      <c r="W244" s="23">
        <f>APRIL!AS115</f>
        <v>0</v>
      </c>
      <c r="X244" s="28">
        <f>APRIL!AL179</f>
        <v>23</v>
      </c>
      <c r="Y244" s="29">
        <f>APRIL!AM179</f>
        <v>0</v>
      </c>
      <c r="Z244" s="29">
        <f>APRIL!AN179</f>
        <v>1</v>
      </c>
      <c r="AA244" s="29"/>
      <c r="AB244" s="29"/>
      <c r="AC244" s="37"/>
      <c r="AD244" s="37"/>
      <c r="AE244" s="148"/>
      <c r="AF244" s="132"/>
      <c r="AG244" s="160"/>
      <c r="AH244" s="85">
        <f t="shared" si="48"/>
        <v>1</v>
      </c>
      <c r="AI244" s="85"/>
      <c r="AJ244" s="85"/>
      <c r="AK244" s="85"/>
      <c r="AL244" s="85"/>
      <c r="AM244" s="131"/>
      <c r="AN244" s="133"/>
      <c r="AO244" s="151"/>
      <c r="AP244" s="152"/>
      <c r="AQ244" s="152"/>
      <c r="AR244" s="152"/>
      <c r="AS244" s="130"/>
      <c r="AT244" s="149"/>
      <c r="AY244" s="218"/>
      <c r="AZ244" s="218"/>
      <c r="BA244" s="218"/>
      <c r="BB244" s="218"/>
    </row>
    <row r="245" spans="1:54" ht="15.6" customHeight="1">
      <c r="A245" s="129">
        <v>47</v>
      </c>
      <c r="B245" s="98" t="s">
        <v>82</v>
      </c>
      <c r="C245" s="81" t="s">
        <v>138</v>
      </c>
      <c r="D245" s="85"/>
      <c r="E245" s="86" t="s">
        <v>77</v>
      </c>
      <c r="F245" s="96" t="s">
        <v>145</v>
      </c>
      <c r="G245" s="135"/>
      <c r="H245" s="16">
        <f>APRIL!AL53</f>
        <v>25</v>
      </c>
      <c r="I245" s="17">
        <f>APRIL!AM53</f>
        <v>0</v>
      </c>
      <c r="J245" s="17">
        <f>APRIL!AN53</f>
        <v>0</v>
      </c>
      <c r="K245" s="17">
        <f>APRIL!AO53</f>
        <v>0</v>
      </c>
      <c r="L245" s="17">
        <f>APRIL!AP53</f>
        <v>0</v>
      </c>
      <c r="M245" s="17">
        <f>APRIL!AQ53</f>
        <v>0</v>
      </c>
      <c r="N245" s="17">
        <f>APRIL!AR53</f>
        <v>0</v>
      </c>
      <c r="O245" s="17">
        <f>APRIL!AS53</f>
        <v>0</v>
      </c>
      <c r="P245" s="22">
        <f>APRIL!AL116</f>
        <v>25</v>
      </c>
      <c r="Q245" s="23">
        <f>APRIL!AM116</f>
        <v>0</v>
      </c>
      <c r="R245" s="23">
        <f>APRIL!AN116</f>
        <v>0</v>
      </c>
      <c r="S245" s="23">
        <f>APRIL!AO116</f>
        <v>0</v>
      </c>
      <c r="T245" s="23">
        <f>APRIL!AQ116</f>
        <v>0</v>
      </c>
      <c r="U245" s="23">
        <f>APRIL!AP116</f>
        <v>0</v>
      </c>
      <c r="V245" s="23">
        <f>APRIL!AR116</f>
        <v>0</v>
      </c>
      <c r="W245" s="23">
        <f>APRIL!AS116</f>
        <v>0</v>
      </c>
      <c r="X245" s="28">
        <f>APRIL!AL180</f>
        <v>11</v>
      </c>
      <c r="Y245" s="29">
        <f>APRIL!AM180</f>
        <v>0</v>
      </c>
      <c r="Z245" s="29">
        <f>APRIL!AN180</f>
        <v>14</v>
      </c>
      <c r="AA245" s="29"/>
      <c r="AB245" s="29"/>
      <c r="AC245" s="37"/>
      <c r="AD245" s="37"/>
      <c r="AE245" s="148"/>
      <c r="AF245" s="132"/>
      <c r="AG245" s="160"/>
      <c r="AH245" s="85">
        <f t="shared" si="48"/>
        <v>14</v>
      </c>
      <c r="AI245" s="85"/>
      <c r="AJ245" s="85"/>
      <c r="AK245" s="85"/>
      <c r="AL245" s="85"/>
      <c r="AM245" s="131"/>
      <c r="AN245" s="133"/>
      <c r="AO245" s="151"/>
      <c r="AP245" s="152"/>
      <c r="AQ245" s="152"/>
      <c r="AR245" s="152"/>
      <c r="AS245" s="130"/>
      <c r="AT245" s="149"/>
      <c r="AY245" s="218"/>
      <c r="AZ245" s="218"/>
      <c r="BA245" s="218"/>
      <c r="BB245" s="218"/>
    </row>
    <row r="246" spans="1:54" ht="15.6" customHeight="1">
      <c r="A246" s="132">
        <v>48</v>
      </c>
      <c r="B246" s="81" t="s">
        <v>83</v>
      </c>
      <c r="C246" s="81" t="s">
        <v>139</v>
      </c>
      <c r="D246" s="157"/>
      <c r="E246" s="99" t="s">
        <v>77</v>
      </c>
      <c r="F246" s="96" t="s">
        <v>145</v>
      </c>
      <c r="G246" s="135"/>
      <c r="H246" s="16">
        <f>APRIL!AL54</f>
        <v>24</v>
      </c>
      <c r="I246" s="17">
        <f>APRIL!AM54</f>
        <v>1</v>
      </c>
      <c r="J246" s="17">
        <f>APRIL!AN54</f>
        <v>0</v>
      </c>
      <c r="K246" s="17">
        <f>APRIL!AO54</f>
        <v>0</v>
      </c>
      <c r="L246" s="17">
        <f>APRIL!AP54</f>
        <v>0</v>
      </c>
      <c r="M246" s="17">
        <f>APRIL!AQ54</f>
        <v>0</v>
      </c>
      <c r="N246" s="17">
        <f>APRIL!AR54</f>
        <v>0</v>
      </c>
      <c r="O246" s="17">
        <f>APRIL!AS54</f>
        <v>0</v>
      </c>
      <c r="P246" s="22">
        <f>APRIL!AL117</f>
        <v>21</v>
      </c>
      <c r="Q246" s="23">
        <f>APRIL!AM117</f>
        <v>0</v>
      </c>
      <c r="R246" s="23">
        <f>APRIL!AN117</f>
        <v>3</v>
      </c>
      <c r="S246" s="23">
        <f>APRIL!AO117</f>
        <v>0</v>
      </c>
      <c r="T246" s="23">
        <f>APRIL!AQ117</f>
        <v>0</v>
      </c>
      <c r="U246" s="23">
        <f>APRIL!AP117</f>
        <v>0</v>
      </c>
      <c r="V246" s="23">
        <f>APRIL!AR117</f>
        <v>0</v>
      </c>
      <c r="W246" s="23">
        <f>APRIL!AS117</f>
        <v>0</v>
      </c>
      <c r="X246" s="28">
        <f>APRIL!AL181</f>
        <v>24</v>
      </c>
      <c r="Y246" s="29">
        <f>APRIL!AM181</f>
        <v>0</v>
      </c>
      <c r="Z246" s="29">
        <f>APRIL!AN181</f>
        <v>0</v>
      </c>
      <c r="AA246" s="29"/>
      <c r="AB246" s="29"/>
      <c r="AC246" s="37"/>
      <c r="AD246" s="37"/>
      <c r="AE246" s="148"/>
      <c r="AF246" s="132"/>
      <c r="AG246" s="160"/>
      <c r="AH246" s="85">
        <f t="shared" si="48"/>
        <v>3</v>
      </c>
      <c r="AI246" s="85"/>
      <c r="AJ246" s="85"/>
      <c r="AK246" s="85"/>
      <c r="AL246" s="85"/>
      <c r="AM246" s="131"/>
      <c r="AN246" s="133"/>
      <c r="AO246" s="151"/>
      <c r="AP246" s="152"/>
      <c r="AQ246" s="152"/>
      <c r="AR246" s="152"/>
      <c r="AS246" s="130"/>
      <c r="AT246" s="149"/>
      <c r="AY246" s="218"/>
      <c r="AZ246" s="218"/>
      <c r="BA246" s="218"/>
      <c r="BB246" s="218"/>
    </row>
    <row r="247" spans="1:54" ht="15.6" customHeight="1">
      <c r="A247" s="129">
        <v>49</v>
      </c>
      <c r="B247" s="81" t="s">
        <v>141</v>
      </c>
      <c r="C247" s="85" t="s">
        <v>140</v>
      </c>
      <c r="D247" s="85" t="s">
        <v>100</v>
      </c>
      <c r="E247" s="86" t="s">
        <v>77</v>
      </c>
      <c r="F247" s="96" t="s">
        <v>102</v>
      </c>
      <c r="G247" s="135"/>
      <c r="H247" s="16">
        <f>APRIL!AL55</f>
        <v>25</v>
      </c>
      <c r="I247" s="17">
        <f>APRIL!AM55</f>
        <v>0</v>
      </c>
      <c r="J247" s="17">
        <f>APRIL!AN55</f>
        <v>0</v>
      </c>
      <c r="K247" s="17">
        <f>APRIL!AO55</f>
        <v>0</v>
      </c>
      <c r="L247" s="17">
        <f>APRIL!AP55</f>
        <v>0</v>
      </c>
      <c r="M247" s="17">
        <f>APRIL!AQ55</f>
        <v>0</v>
      </c>
      <c r="N247" s="17">
        <f>APRIL!AR55</f>
        <v>0</v>
      </c>
      <c r="O247" s="17">
        <f>APRIL!AS55</f>
        <v>0</v>
      </c>
      <c r="P247" s="22">
        <f>APRIL!AL118</f>
        <v>25</v>
      </c>
      <c r="Q247" s="23">
        <f>APRIL!AM118</f>
        <v>0</v>
      </c>
      <c r="R247" s="23">
        <f>APRIL!AN118</f>
        <v>0</v>
      </c>
      <c r="S247" s="23">
        <f>APRIL!AO118</f>
        <v>0</v>
      </c>
      <c r="T247" s="23">
        <f>APRIL!AQ118</f>
        <v>0</v>
      </c>
      <c r="U247" s="23">
        <f>APRIL!AP118</f>
        <v>0</v>
      </c>
      <c r="V247" s="23">
        <f>APRIL!AR118</f>
        <v>0</v>
      </c>
      <c r="W247" s="23">
        <f>APRIL!AS118</f>
        <v>0</v>
      </c>
      <c r="X247" s="28">
        <f>APRIL!AL182</f>
        <v>25</v>
      </c>
      <c r="Y247" s="29">
        <f>APRIL!AM182</f>
        <v>0</v>
      </c>
      <c r="Z247" s="29">
        <f>APRIL!AN182</f>
        <v>0</v>
      </c>
      <c r="AA247" s="29"/>
      <c r="AB247" s="29"/>
      <c r="AC247" s="37"/>
      <c r="AD247" s="37"/>
      <c r="AE247" s="148"/>
      <c r="AF247" s="132"/>
      <c r="AG247" s="160"/>
      <c r="AH247" s="85">
        <f t="shared" si="48"/>
        <v>0</v>
      </c>
      <c r="AI247" s="85"/>
      <c r="AJ247" s="85"/>
      <c r="AK247" s="85"/>
      <c r="AL247" s="85"/>
      <c r="AM247" s="131"/>
      <c r="AN247" s="133"/>
      <c r="AO247" s="151"/>
      <c r="AP247" s="152"/>
      <c r="AQ247" s="152"/>
      <c r="AR247" s="152"/>
      <c r="AS247" s="130"/>
      <c r="AT247" s="149"/>
      <c r="AY247" s="218"/>
      <c r="AZ247" s="218"/>
      <c r="BA247" s="218"/>
      <c r="BB247" s="218"/>
    </row>
    <row r="248" spans="1:54" ht="15.6" customHeight="1">
      <c r="A248" s="132">
        <v>50</v>
      </c>
      <c r="B248" s="81" t="s">
        <v>175</v>
      </c>
      <c r="C248" s="85" t="s">
        <v>140</v>
      </c>
      <c r="D248" s="85" t="s">
        <v>100</v>
      </c>
      <c r="E248" s="101" t="s">
        <v>77</v>
      </c>
      <c r="F248" s="95" t="s">
        <v>103</v>
      </c>
      <c r="G248" s="135"/>
      <c r="H248" s="16">
        <f>APRIL!AL56</f>
        <v>24</v>
      </c>
      <c r="I248" s="17">
        <f>APRIL!AM56</f>
        <v>1</v>
      </c>
      <c r="J248" s="17">
        <f>APRIL!AN56</f>
        <v>0</v>
      </c>
      <c r="K248" s="17">
        <f>APRIL!AO56</f>
        <v>0</v>
      </c>
      <c r="L248" s="17">
        <f>APRIL!AP56</f>
        <v>0</v>
      </c>
      <c r="M248" s="17">
        <f>APRIL!AQ56</f>
        <v>0</v>
      </c>
      <c r="N248" s="17">
        <f>APRIL!AR56</f>
        <v>0</v>
      </c>
      <c r="O248" s="17">
        <f>APRIL!AS56</f>
        <v>0</v>
      </c>
      <c r="P248" s="22">
        <f>APRIL!AL119</f>
        <v>24</v>
      </c>
      <c r="Q248" s="23">
        <f>APRIL!AM119</f>
        <v>0</v>
      </c>
      <c r="R248" s="23">
        <f>APRIL!AN119</f>
        <v>0</v>
      </c>
      <c r="S248" s="23">
        <f>APRIL!AO119</f>
        <v>0</v>
      </c>
      <c r="T248" s="23">
        <f>APRIL!AQ119</f>
        <v>0</v>
      </c>
      <c r="U248" s="23">
        <f>APRIL!AP119</f>
        <v>0</v>
      </c>
      <c r="V248" s="23">
        <f>APRIL!AR119</f>
        <v>0</v>
      </c>
      <c r="W248" s="23">
        <f>APRIL!AS119</f>
        <v>0</v>
      </c>
      <c r="X248" s="28">
        <f>APRIL!AL183</f>
        <v>20</v>
      </c>
      <c r="Y248" s="29">
        <f>APRIL!AM183</f>
        <v>0</v>
      </c>
      <c r="Z248" s="29">
        <f>APRIL!AN183</f>
        <v>4</v>
      </c>
      <c r="AA248" s="29"/>
      <c r="AB248" s="29"/>
      <c r="AC248" s="37"/>
      <c r="AD248" s="37"/>
      <c r="AE248" s="148"/>
      <c r="AF248" s="132"/>
      <c r="AG248" s="160"/>
      <c r="AH248" s="85">
        <f t="shared" si="48"/>
        <v>4</v>
      </c>
      <c r="AI248" s="85"/>
      <c r="AJ248" s="85"/>
      <c r="AK248" s="85"/>
      <c r="AL248" s="85"/>
      <c r="AM248" s="131"/>
      <c r="AN248" s="133"/>
      <c r="AO248" s="151"/>
      <c r="AP248" s="152"/>
      <c r="AQ248" s="152"/>
      <c r="AR248" s="152"/>
      <c r="AS248" s="130"/>
      <c r="AT248" s="149"/>
      <c r="AY248" s="218"/>
      <c r="AZ248" s="218"/>
      <c r="BA248" s="218"/>
      <c r="BB248" s="218"/>
    </row>
    <row r="249" spans="1:54">
      <c r="A249" s="164"/>
      <c r="B249" s="73"/>
      <c r="AL249" s="162"/>
      <c r="AM249" s="162"/>
      <c r="AN249" s="162"/>
      <c r="AO249" s="136"/>
      <c r="AP249" s="136"/>
      <c r="AQ249" s="117"/>
    </row>
    <row r="250" spans="1:54" ht="15" customHeight="1">
      <c r="A250" s="164"/>
      <c r="B250" s="73"/>
      <c r="AL250" s="216" t="s">
        <v>190</v>
      </c>
      <c r="AM250" s="216"/>
      <c r="AN250" s="216"/>
      <c r="AO250" s="216"/>
      <c r="AP250" s="216"/>
      <c r="AQ250" s="216"/>
      <c r="AR250" s="216"/>
      <c r="AS250" s="216"/>
    </row>
    <row r="251" spans="1:54">
      <c r="O251" s="118"/>
      <c r="AL251" s="162"/>
      <c r="AM251" s="162"/>
      <c r="AN251" s="162"/>
      <c r="AO251" s="162"/>
      <c r="AP251" s="162"/>
      <c r="AQ251" s="117"/>
    </row>
    <row r="252" spans="1:54">
      <c r="F252" s="119" t="s">
        <v>84</v>
      </c>
      <c r="G252" s="119"/>
      <c r="AL252" s="213" t="s">
        <v>104</v>
      </c>
      <c r="AM252" s="214"/>
      <c r="AN252" s="214"/>
      <c r="AO252" s="214"/>
      <c r="AP252" s="214"/>
      <c r="AQ252" s="214"/>
      <c r="AR252" s="214"/>
      <c r="AS252" s="214"/>
    </row>
    <row r="253" spans="1:54">
      <c r="AL253" s="162"/>
      <c r="AM253" s="162"/>
      <c r="AN253" s="162"/>
      <c r="AO253" s="162"/>
      <c r="AP253" s="162"/>
      <c r="AQ253" s="117"/>
    </row>
    <row r="254" spans="1:54">
      <c r="F254" s="112"/>
      <c r="G254" s="112"/>
      <c r="AL254" s="162"/>
      <c r="AM254" s="164"/>
      <c r="AN254" s="164"/>
      <c r="AO254" s="120"/>
      <c r="AP254" s="164"/>
    </row>
    <row r="255" spans="1:54">
      <c r="F255" s="119"/>
      <c r="G255" s="119"/>
      <c r="O255" s="215"/>
      <c r="P255" s="215"/>
      <c r="Q255" s="215"/>
      <c r="R255" s="215"/>
      <c r="S255" s="215"/>
      <c r="T255" s="121"/>
      <c r="U255" s="121"/>
      <c r="V255" s="121"/>
      <c r="W255" s="121"/>
      <c r="X255" s="121"/>
      <c r="Y255" s="121"/>
      <c r="Z255" s="121"/>
      <c r="AL255" s="162"/>
      <c r="AM255" s="162"/>
      <c r="AN255" s="162"/>
      <c r="AO255" s="122"/>
      <c r="AP255" s="122"/>
      <c r="AQ255" s="117"/>
    </row>
    <row r="256" spans="1:54" ht="15" customHeight="1">
      <c r="F256" s="106" t="s">
        <v>122</v>
      </c>
      <c r="G256" s="106"/>
      <c r="O256" s="118"/>
      <c r="AL256" s="216" t="s">
        <v>110</v>
      </c>
      <c r="AM256" s="216"/>
      <c r="AN256" s="216"/>
      <c r="AO256" s="216"/>
      <c r="AP256" s="216"/>
      <c r="AQ256" s="216"/>
      <c r="AR256" s="216"/>
      <c r="AS256" s="216"/>
    </row>
    <row r="257" spans="1:46">
      <c r="A257" s="163"/>
      <c r="B257" s="217"/>
      <c r="C257" s="217"/>
      <c r="D257" s="163"/>
      <c r="E257" s="163"/>
      <c r="F257" s="107" t="s">
        <v>146</v>
      </c>
      <c r="G257" s="107"/>
      <c r="H257" s="163"/>
      <c r="I257" s="163"/>
      <c r="J257" s="163"/>
      <c r="K257" s="163"/>
      <c r="L257" s="163"/>
      <c r="M257" s="163"/>
      <c r="N257" s="163"/>
      <c r="O257" s="163"/>
      <c r="P257" s="163"/>
      <c r="Q257" s="163"/>
      <c r="R257" s="163"/>
      <c r="S257" s="163"/>
      <c r="T257" s="163"/>
      <c r="U257" s="163"/>
      <c r="V257" s="163"/>
      <c r="W257" s="163"/>
      <c r="X257" s="163"/>
      <c r="Y257" s="163"/>
      <c r="Z257" s="163"/>
      <c r="AA257" s="163"/>
      <c r="AB257" s="163"/>
      <c r="AC257" s="163"/>
      <c r="AD257" s="163"/>
      <c r="AE257" s="163"/>
      <c r="AF257" s="163"/>
      <c r="AG257" s="163"/>
      <c r="AH257" s="163"/>
      <c r="AI257" s="163"/>
      <c r="AJ257" s="163"/>
      <c r="AK257" s="163"/>
      <c r="AL257" s="108" t="s">
        <v>147</v>
      </c>
      <c r="AM257" s="162"/>
      <c r="AN257" s="162"/>
      <c r="AO257" s="109"/>
      <c r="AP257" s="105"/>
      <c r="AQ257" s="105"/>
      <c r="AR257" s="102"/>
      <c r="AS257" s="102"/>
      <c r="AT257" s="163"/>
    </row>
    <row r="258" spans="1:46">
      <c r="A258" s="163"/>
      <c r="B258" s="163"/>
      <c r="C258" s="163"/>
      <c r="D258" s="163"/>
      <c r="E258" s="163"/>
      <c r="F258" s="123"/>
      <c r="G258" s="123"/>
      <c r="H258" s="163"/>
      <c r="I258" s="163"/>
      <c r="J258" s="163"/>
      <c r="K258" s="163"/>
      <c r="L258" s="163"/>
      <c r="M258" s="163"/>
      <c r="N258" s="163"/>
      <c r="O258" s="163"/>
      <c r="P258" s="163"/>
      <c r="Q258" s="163"/>
      <c r="R258" s="163"/>
      <c r="S258" s="163"/>
      <c r="T258" s="163"/>
      <c r="U258" s="163"/>
      <c r="V258" s="163"/>
      <c r="W258" s="163"/>
      <c r="X258" s="163"/>
      <c r="Y258" s="163"/>
      <c r="Z258" s="163"/>
      <c r="AA258" s="163"/>
      <c r="AB258" s="163"/>
      <c r="AC258" s="163"/>
      <c r="AD258" s="163"/>
      <c r="AE258" s="163"/>
      <c r="AF258" s="163"/>
      <c r="AG258" s="163"/>
      <c r="AH258" s="163"/>
      <c r="AI258" s="163"/>
      <c r="AJ258" s="163"/>
      <c r="AK258" s="163"/>
      <c r="AL258" s="137"/>
      <c r="AM258" s="162"/>
      <c r="AN258" s="162"/>
      <c r="AO258" s="122"/>
      <c r="AP258" s="117"/>
      <c r="AQ258" s="117"/>
      <c r="AT258" s="163"/>
    </row>
  </sheetData>
  <mergeCells count="108">
    <mergeCell ref="B6:C6"/>
    <mergeCell ref="AL57:AS57"/>
    <mergeCell ref="AL58:AS58"/>
    <mergeCell ref="O62:U62"/>
    <mergeCell ref="AL62:AS62"/>
    <mergeCell ref="B64:AT64"/>
    <mergeCell ref="A1:AW1"/>
    <mergeCell ref="A2:AT2"/>
    <mergeCell ref="A3:AT3"/>
    <mergeCell ref="A4:A6"/>
    <mergeCell ref="B4:C5"/>
    <mergeCell ref="E4:E5"/>
    <mergeCell ref="F4:F5"/>
    <mergeCell ref="H4:AK4"/>
    <mergeCell ref="AL4:AS4"/>
    <mergeCell ref="AT4:AT5"/>
    <mergeCell ref="B69:C69"/>
    <mergeCell ref="AL120:AS120"/>
    <mergeCell ref="AL122:AS122"/>
    <mergeCell ref="B126:C126"/>
    <mergeCell ref="AL126:AS126"/>
    <mergeCell ref="B128:AT128"/>
    <mergeCell ref="B65:AT65"/>
    <mergeCell ref="B66:AT66"/>
    <mergeCell ref="A67:A68"/>
    <mergeCell ref="B67:C68"/>
    <mergeCell ref="H67:AK67"/>
    <mergeCell ref="AL67:AS67"/>
    <mergeCell ref="AL184:AS184"/>
    <mergeCell ref="AL186:AS186"/>
    <mergeCell ref="AL190:AS190"/>
    <mergeCell ref="B191:C191"/>
    <mergeCell ref="A193:AT193"/>
    <mergeCell ref="A194:AT194"/>
    <mergeCell ref="B129:AT129"/>
    <mergeCell ref="B130:AT130"/>
    <mergeCell ref="A131:A133"/>
    <mergeCell ref="B131:C132"/>
    <mergeCell ref="H131:AK131"/>
    <mergeCell ref="AL131:AS131"/>
    <mergeCell ref="B133:C133"/>
    <mergeCell ref="A195:AT195"/>
    <mergeCell ref="A196:A197"/>
    <mergeCell ref="B196:C197"/>
    <mergeCell ref="E196:E197"/>
    <mergeCell ref="F196:F197"/>
    <mergeCell ref="H196:O196"/>
    <mergeCell ref="P196:W196"/>
    <mergeCell ref="X196:AE196"/>
    <mergeCell ref="AF196:AN196"/>
    <mergeCell ref="AO196:AT197"/>
    <mergeCell ref="AY203:BB203"/>
    <mergeCell ref="AY204:BB204"/>
    <mergeCell ref="AY205:BB205"/>
    <mergeCell ref="AY206:BB206"/>
    <mergeCell ref="AY207:BB207"/>
    <mergeCell ref="AY208:BB208"/>
    <mergeCell ref="AY197:BB198"/>
    <mergeCell ref="B198:C198"/>
    <mergeCell ref="AY199:BB199"/>
    <mergeCell ref="AY200:BB200"/>
    <mergeCell ref="AY201:BB201"/>
    <mergeCell ref="AY202:BB202"/>
    <mergeCell ref="AY215:BB215"/>
    <mergeCell ref="AY216:BB216"/>
    <mergeCell ref="AY217:BB217"/>
    <mergeCell ref="AY218:BB218"/>
    <mergeCell ref="AY219:BB219"/>
    <mergeCell ref="AY220:BB220"/>
    <mergeCell ref="AY209:BB209"/>
    <mergeCell ref="AY210:BB210"/>
    <mergeCell ref="AY211:BB211"/>
    <mergeCell ref="AY212:BB212"/>
    <mergeCell ref="AY213:BB213"/>
    <mergeCell ref="AY214:BB214"/>
    <mergeCell ref="AY227:BB227"/>
    <mergeCell ref="AY228:BB228"/>
    <mergeCell ref="AY229:BB229"/>
    <mergeCell ref="AY230:BB230"/>
    <mergeCell ref="AY231:BB231"/>
    <mergeCell ref="AY232:BB232"/>
    <mergeCell ref="AY221:BB221"/>
    <mergeCell ref="AY222:BB222"/>
    <mergeCell ref="AY223:BB223"/>
    <mergeCell ref="AY224:BB224"/>
    <mergeCell ref="AY225:BB225"/>
    <mergeCell ref="AY226:BB226"/>
    <mergeCell ref="AY239:BB239"/>
    <mergeCell ref="AY240:BB240"/>
    <mergeCell ref="AY241:BB241"/>
    <mergeCell ref="AY242:BB242"/>
    <mergeCell ref="AY243:BB243"/>
    <mergeCell ref="AY244:BB244"/>
    <mergeCell ref="AY233:BB233"/>
    <mergeCell ref="AY234:BB234"/>
    <mergeCell ref="AY235:BB235"/>
    <mergeCell ref="AY236:BB236"/>
    <mergeCell ref="AY237:BB237"/>
    <mergeCell ref="AY238:BB238"/>
    <mergeCell ref="AL252:AS252"/>
    <mergeCell ref="O255:S255"/>
    <mergeCell ref="AL256:AS256"/>
    <mergeCell ref="B257:C257"/>
    <mergeCell ref="AY245:BB245"/>
    <mergeCell ref="AY246:BB246"/>
    <mergeCell ref="AY247:BB247"/>
    <mergeCell ref="AY248:BB248"/>
    <mergeCell ref="AL250:AS250"/>
  </mergeCells>
  <conditionalFormatting sqref="I199:I248">
    <cfRule type="cellIs" dxfId="990" priority="2630" operator="between">
      <formula>1</formula>
      <formula>15</formula>
    </cfRule>
  </conditionalFormatting>
  <conditionalFormatting sqref="J199:J248">
    <cfRule type="cellIs" dxfId="989" priority="2631" operator="between">
      <formula>1</formula>
      <formula>40</formula>
    </cfRule>
    <cfRule type="cellIs" dxfId="988" priority="2632" operator="between">
      <formula>1</formula>
      <formula>40</formula>
    </cfRule>
  </conditionalFormatting>
  <conditionalFormatting sqref="K199:K248">
    <cfRule type="cellIs" dxfId="987" priority="2633" operator="between">
      <formula>1</formula>
      <formula>15</formula>
    </cfRule>
  </conditionalFormatting>
  <conditionalFormatting sqref="L199:L248">
    <cfRule type="cellIs" dxfId="986" priority="2629" operator="between">
      <formula>1</formula>
      <formula>10</formula>
    </cfRule>
  </conditionalFormatting>
  <conditionalFormatting sqref="N199:N248">
    <cfRule type="cellIs" dxfId="985" priority="2628" operator="between">
      <formula>1</formula>
      <formula>10</formula>
    </cfRule>
  </conditionalFormatting>
  <conditionalFormatting sqref="Z199:Z248 W199:W248 Q199:U248">
    <cfRule type="cellIs" dxfId="984" priority="2627" operator="between">
      <formula>1</formula>
      <formula>100</formula>
    </cfRule>
  </conditionalFormatting>
  <conditionalFormatting sqref="AL70:AL96">
    <cfRule type="cellIs" dxfId="983" priority="2614" operator="equal">
      <formula>"DL"</formula>
    </cfRule>
    <cfRule type="cellIs" dxfId="982" priority="2615" operator="equal">
      <formula>"I"</formula>
    </cfRule>
    <cfRule type="cellIs" dxfId="981" priority="2616" operator="equal">
      <formula>"S"</formula>
    </cfRule>
    <cfRule type="cellIs" dxfId="980" priority="2617" operator="equal">
      <formula>"H"</formula>
    </cfRule>
  </conditionalFormatting>
  <conditionalFormatting sqref="AL7:AM33">
    <cfRule type="cellIs" dxfId="979" priority="2641" operator="equal">
      <formula>"DL"</formula>
    </cfRule>
    <cfRule type="cellIs" dxfId="978" priority="2642" operator="equal">
      <formula>"I"</formula>
    </cfRule>
    <cfRule type="cellIs" dxfId="977" priority="2643" operator="equal">
      <formula>"S"</formula>
    </cfRule>
    <cfRule type="cellIs" dxfId="976" priority="2644" operator="equal">
      <formula>"H"</formula>
    </cfRule>
  </conditionalFormatting>
  <conditionalFormatting sqref="AM23:AM29 AM31">
    <cfRule type="cellIs" dxfId="975" priority="2637" operator="equal">
      <formula>"DL"</formula>
    </cfRule>
    <cfRule type="cellIs" dxfId="974" priority="2638" operator="equal">
      <formula>"I"</formula>
    </cfRule>
    <cfRule type="cellIs" dxfId="973" priority="2639" operator="equal">
      <formula>"S"</formula>
    </cfRule>
    <cfRule type="cellIs" dxfId="972" priority="2640" operator="equal">
      <formula>"H"</formula>
    </cfRule>
  </conditionalFormatting>
  <conditionalFormatting sqref="AH199:AJ248">
    <cfRule type="cellIs" dxfId="971" priority="2618" operator="between">
      <formula>35</formula>
      <formula>42</formula>
    </cfRule>
    <cfRule type="cellIs" dxfId="970" priority="2619" operator="between">
      <formula>28</formula>
      <formula>34</formula>
    </cfRule>
    <cfRule type="cellIs" dxfId="969" priority="2620" operator="between">
      <formula>21</formula>
      <formula>27</formula>
    </cfRule>
    <cfRule type="cellIs" dxfId="968" priority="2621" operator="between">
      <formula>14</formula>
      <formula>20</formula>
    </cfRule>
    <cfRule type="cellIs" dxfId="967" priority="2622" operator="between">
      <formula>7</formula>
      <formula>13</formula>
    </cfRule>
    <cfRule type="cellIs" dxfId="966" priority="2623" operator="between">
      <formula>0</formula>
      <formula>6</formula>
    </cfRule>
    <cfRule type="cellIs" dxfId="965" priority="2624" operator="between">
      <formula>15</formula>
      <formula>21</formula>
    </cfRule>
    <cfRule type="cellIs" dxfId="964" priority="2625" operator="between">
      <formula>8</formula>
      <formula>14</formula>
    </cfRule>
    <cfRule type="cellIs" dxfId="963" priority="2626" operator="between">
      <formula>1</formula>
      <formula>7</formula>
    </cfRule>
  </conditionalFormatting>
  <conditionalFormatting sqref="AM7:AS56">
    <cfRule type="cellIs" dxfId="962" priority="2635" operator="between">
      <formula>1</formula>
      <formula>20</formula>
    </cfRule>
    <cfRule type="cellIs" dxfId="961" priority="2636" operator="equal">
      <formula>7</formula>
    </cfRule>
  </conditionalFormatting>
  <conditionalFormatting sqref="AM70:AS107 AM134:AS171">
    <cfRule type="cellIs" dxfId="960" priority="2634" operator="between">
      <formula>1</formula>
      <formula>50</formula>
    </cfRule>
  </conditionalFormatting>
  <conditionalFormatting sqref="AM108:AS119">
    <cfRule type="cellIs" dxfId="959" priority="2612" operator="between">
      <formula>1</formula>
      <formula>20</formula>
    </cfRule>
    <cfRule type="cellIs" dxfId="958" priority="2613" operator="equal">
      <formula>7</formula>
    </cfRule>
  </conditionalFormatting>
  <conditionalFormatting sqref="AM172:AS183">
    <cfRule type="cellIs" dxfId="957" priority="2610" operator="between">
      <formula>1</formula>
      <formula>20</formula>
    </cfRule>
    <cfRule type="cellIs" dxfId="956" priority="2611" operator="equal">
      <formula>7</formula>
    </cfRule>
  </conditionalFormatting>
  <conditionalFormatting sqref="V199:V248">
    <cfRule type="cellIs" dxfId="955" priority="2605" operator="between">
      <formula>1</formula>
      <formula>100</formula>
    </cfRule>
  </conditionalFormatting>
  <conditionalFormatting sqref="Z7:Z43">
    <cfRule type="cellIs" dxfId="954" priority="2597" operator="equal">
      <formula>"DL"</formula>
    </cfRule>
    <cfRule type="cellIs" dxfId="953" priority="2598" operator="equal">
      <formula>"I"</formula>
    </cfRule>
    <cfRule type="cellIs" dxfId="952" priority="2599" operator="equal">
      <formula>"S"</formula>
    </cfRule>
    <cfRule type="cellIs" dxfId="951" priority="2600" operator="equal">
      <formula>"H"</formula>
    </cfRule>
  </conditionalFormatting>
  <conditionalFormatting sqref="AF7:AF43 AK7">
    <cfRule type="cellIs" dxfId="950" priority="2585" operator="equal">
      <formula>"DL"</formula>
    </cfRule>
    <cfRule type="cellIs" dxfId="949" priority="2586" operator="equal">
      <formula>"I"</formula>
    </cfRule>
    <cfRule type="cellIs" dxfId="948" priority="2587" operator="equal">
      <formula>"S"</formula>
    </cfRule>
    <cfRule type="cellIs" dxfId="947" priority="2588" operator="equal">
      <formula>"H"</formula>
    </cfRule>
  </conditionalFormatting>
  <conditionalFormatting sqref="I7:I43 K7:K43 M7:N43">
    <cfRule type="cellIs" dxfId="946" priority="2593" operator="equal">
      <formula>"DL"</formula>
    </cfRule>
    <cfRule type="cellIs" dxfId="945" priority="2594" operator="equal">
      <formula>"I"</formula>
    </cfRule>
    <cfRule type="cellIs" dxfId="944" priority="2595" operator="equal">
      <formula>"S"</formula>
    </cfRule>
    <cfRule type="cellIs" dxfId="943" priority="2596" operator="equal">
      <formula>"H"</formula>
    </cfRule>
  </conditionalFormatting>
  <conditionalFormatting sqref="Q7:Q43 T7:T43">
    <cfRule type="cellIs" dxfId="942" priority="2589" operator="equal">
      <formula>"DL"</formula>
    </cfRule>
    <cfRule type="cellIs" dxfId="941" priority="2590" operator="equal">
      <formula>"I"</formula>
    </cfRule>
    <cfRule type="cellIs" dxfId="940" priority="2591" operator="equal">
      <formula>"S"</formula>
    </cfRule>
    <cfRule type="cellIs" dxfId="939" priority="2592" operator="equal">
      <formula>"H"</formula>
    </cfRule>
  </conditionalFormatting>
  <conditionalFormatting sqref="X7:X43">
    <cfRule type="cellIs" dxfId="938" priority="2581" operator="equal">
      <formula>"DL"</formula>
    </cfRule>
    <cfRule type="cellIs" dxfId="937" priority="2582" operator="equal">
      <formula>"I"</formula>
    </cfRule>
    <cfRule type="cellIs" dxfId="936" priority="2583" operator="equal">
      <formula>"S"</formula>
    </cfRule>
    <cfRule type="cellIs" dxfId="935" priority="2584" operator="equal">
      <formula>"H"</formula>
    </cfRule>
  </conditionalFormatting>
  <conditionalFormatting sqref="V44">
    <cfRule type="cellIs" dxfId="934" priority="2269" operator="equal">
      <formula>"DL"</formula>
    </cfRule>
    <cfRule type="cellIs" dxfId="933" priority="2270" operator="equal">
      <formula>"I"</formula>
    </cfRule>
    <cfRule type="cellIs" dxfId="932" priority="2271" operator="equal">
      <formula>"S"</formula>
    </cfRule>
    <cfRule type="cellIs" dxfId="931" priority="2272" operator="equal">
      <formula>"H"</formula>
    </cfRule>
  </conditionalFormatting>
  <conditionalFormatting sqref="Y44">
    <cfRule type="cellIs" dxfId="930" priority="2265" operator="equal">
      <formula>"DL"</formula>
    </cfRule>
    <cfRule type="cellIs" dxfId="929" priority="2266" operator="equal">
      <formula>"I"</formula>
    </cfRule>
    <cfRule type="cellIs" dxfId="928" priority="2267" operator="equal">
      <formula>"S"</formula>
    </cfRule>
    <cfRule type="cellIs" dxfId="927" priority="2268" operator="equal">
      <formula>"H"</formula>
    </cfRule>
  </conditionalFormatting>
  <conditionalFormatting sqref="AD44">
    <cfRule type="cellIs" dxfId="926" priority="2249" operator="equal">
      <formula>"DL"</formula>
    </cfRule>
    <cfRule type="cellIs" dxfId="925" priority="2250" operator="equal">
      <formula>"I"</formula>
    </cfRule>
    <cfRule type="cellIs" dxfId="924" priority="2251" operator="equal">
      <formula>"S"</formula>
    </cfRule>
    <cfRule type="cellIs" dxfId="923" priority="2252" operator="equal">
      <formula>"H"</formula>
    </cfRule>
  </conditionalFormatting>
  <conditionalFormatting sqref="AE44">
    <cfRule type="cellIs" dxfId="922" priority="2245" operator="equal">
      <formula>"DL"</formula>
    </cfRule>
    <cfRule type="cellIs" dxfId="921" priority="2246" operator="equal">
      <formula>"I"</formula>
    </cfRule>
    <cfRule type="cellIs" dxfId="920" priority="2247" operator="equal">
      <formula>"S"</formula>
    </cfRule>
    <cfRule type="cellIs" dxfId="919" priority="2248" operator="equal">
      <formula>"H"</formula>
    </cfRule>
  </conditionalFormatting>
  <conditionalFormatting sqref="AJ44">
    <cfRule type="cellIs" dxfId="918" priority="2241" operator="equal">
      <formula>"DL"</formula>
    </cfRule>
    <cfRule type="cellIs" dxfId="917" priority="2242" operator="equal">
      <formula>"I"</formula>
    </cfRule>
    <cfRule type="cellIs" dxfId="916" priority="2243" operator="equal">
      <formula>"S"</formula>
    </cfRule>
    <cfRule type="cellIs" dxfId="915" priority="2244" operator="equal">
      <formula>"H"</formula>
    </cfRule>
  </conditionalFormatting>
  <conditionalFormatting sqref="AH44">
    <cfRule type="cellIs" dxfId="914" priority="2225" operator="equal">
      <formula>"DL"</formula>
    </cfRule>
    <cfRule type="cellIs" dxfId="913" priority="2226" operator="equal">
      <formula>"I"</formula>
    </cfRule>
    <cfRule type="cellIs" dxfId="912" priority="2227" operator="equal">
      <formula>"S"</formula>
    </cfRule>
    <cfRule type="cellIs" dxfId="911" priority="2228" operator="equal">
      <formula>"H"</formula>
    </cfRule>
  </conditionalFormatting>
  <conditionalFormatting sqref="W44">
    <cfRule type="cellIs" dxfId="910" priority="2209" operator="equal">
      <formula>"DL"</formula>
    </cfRule>
    <cfRule type="cellIs" dxfId="909" priority="2210" operator="equal">
      <formula>"I"</formula>
    </cfRule>
    <cfRule type="cellIs" dxfId="908" priority="2211" operator="equal">
      <formula>"S"</formula>
    </cfRule>
    <cfRule type="cellIs" dxfId="907" priority="2212" operator="equal">
      <formula>"H"</formula>
    </cfRule>
  </conditionalFormatting>
  <conditionalFormatting sqref="J7:J43">
    <cfRule type="cellIs" dxfId="906" priority="2513" operator="equal">
      <formula>"DL"</formula>
    </cfRule>
    <cfRule type="cellIs" dxfId="905" priority="2514" operator="equal">
      <formula>"I"</formula>
    </cfRule>
    <cfRule type="cellIs" dxfId="904" priority="2515" operator="equal">
      <formula>"S"</formula>
    </cfRule>
    <cfRule type="cellIs" dxfId="903" priority="2516" operator="equal">
      <formula>"H"</formula>
    </cfRule>
  </conditionalFormatting>
  <conditionalFormatting sqref="S7:S43">
    <cfRule type="cellIs" dxfId="902" priority="2505" operator="equal">
      <formula>"DL"</formula>
    </cfRule>
    <cfRule type="cellIs" dxfId="901" priority="2506" operator="equal">
      <formula>"I"</formula>
    </cfRule>
    <cfRule type="cellIs" dxfId="900" priority="2507" operator="equal">
      <formula>"S"</formula>
    </cfRule>
    <cfRule type="cellIs" dxfId="899" priority="2508" operator="equal">
      <formula>"H"</formula>
    </cfRule>
  </conditionalFormatting>
  <conditionalFormatting sqref="AG7:AG43">
    <cfRule type="cellIs" dxfId="898" priority="2501" operator="equal">
      <formula>"DL"</formula>
    </cfRule>
    <cfRule type="cellIs" dxfId="897" priority="2502" operator="equal">
      <formula>"I"</formula>
    </cfRule>
    <cfRule type="cellIs" dxfId="896" priority="2503" operator="equal">
      <formula>"S"</formula>
    </cfRule>
    <cfRule type="cellIs" dxfId="895" priority="2504" operator="equal">
      <formula>"H"</formula>
    </cfRule>
  </conditionalFormatting>
  <conditionalFormatting sqref="H7:H43">
    <cfRule type="cellIs" dxfId="894" priority="2497" operator="equal">
      <formula>"DL"</formula>
    </cfRule>
    <cfRule type="cellIs" dxfId="893" priority="2498" operator="equal">
      <formula>"I"</formula>
    </cfRule>
    <cfRule type="cellIs" dxfId="892" priority="2499" operator="equal">
      <formula>"S"</formula>
    </cfRule>
    <cfRule type="cellIs" dxfId="891" priority="2500" operator="equal">
      <formula>"H"</formula>
    </cfRule>
  </conditionalFormatting>
  <conditionalFormatting sqref="O7:O43">
    <cfRule type="cellIs" dxfId="890" priority="2489" operator="equal">
      <formula>"DL"</formula>
    </cfRule>
    <cfRule type="cellIs" dxfId="889" priority="2490" operator="equal">
      <formula>"I"</formula>
    </cfRule>
    <cfRule type="cellIs" dxfId="888" priority="2491" operator="equal">
      <formula>"S"</formula>
    </cfRule>
    <cfRule type="cellIs" dxfId="887" priority="2492" operator="equal">
      <formula>"H"</formula>
    </cfRule>
  </conditionalFormatting>
  <conditionalFormatting sqref="V7:V43">
    <cfRule type="cellIs" dxfId="886" priority="2485" operator="equal">
      <formula>"DL"</formula>
    </cfRule>
    <cfRule type="cellIs" dxfId="885" priority="2486" operator="equal">
      <formula>"I"</formula>
    </cfRule>
    <cfRule type="cellIs" dxfId="884" priority="2487" operator="equal">
      <formula>"S"</formula>
    </cfRule>
    <cfRule type="cellIs" dxfId="883" priority="2488" operator="equal">
      <formula>"H"</formula>
    </cfRule>
  </conditionalFormatting>
  <conditionalFormatting sqref="Y7:Y43">
    <cfRule type="cellIs" dxfId="882" priority="2481" operator="equal">
      <formula>"DL"</formula>
    </cfRule>
    <cfRule type="cellIs" dxfId="881" priority="2482" operator="equal">
      <formula>"I"</formula>
    </cfRule>
    <cfRule type="cellIs" dxfId="880" priority="2483" operator="equal">
      <formula>"S"</formula>
    </cfRule>
    <cfRule type="cellIs" dxfId="879" priority="2484" operator="equal">
      <formula>"H"</formula>
    </cfRule>
  </conditionalFormatting>
  <conditionalFormatting sqref="AA7:AA43">
    <cfRule type="cellIs" dxfId="878" priority="2477" operator="equal">
      <formula>"DL"</formula>
    </cfRule>
    <cfRule type="cellIs" dxfId="877" priority="2478" operator="equal">
      <formula>"I"</formula>
    </cfRule>
    <cfRule type="cellIs" dxfId="876" priority="2479" operator="equal">
      <formula>"S"</formula>
    </cfRule>
    <cfRule type="cellIs" dxfId="875" priority="2480" operator="equal">
      <formula>"H"</formula>
    </cfRule>
  </conditionalFormatting>
  <conditionalFormatting sqref="AB7:AB43">
    <cfRule type="cellIs" dxfId="874" priority="2473" operator="equal">
      <formula>"DL"</formula>
    </cfRule>
    <cfRule type="cellIs" dxfId="873" priority="2474" operator="equal">
      <formula>"I"</formula>
    </cfRule>
    <cfRule type="cellIs" dxfId="872" priority="2475" operator="equal">
      <formula>"S"</formula>
    </cfRule>
    <cfRule type="cellIs" dxfId="871" priority="2476" operator="equal">
      <formula>"H"</formula>
    </cfRule>
  </conditionalFormatting>
  <conditionalFormatting sqref="AC7:AC43">
    <cfRule type="cellIs" dxfId="870" priority="2469" operator="equal">
      <formula>"DL"</formula>
    </cfRule>
    <cfRule type="cellIs" dxfId="869" priority="2470" operator="equal">
      <formula>"I"</formula>
    </cfRule>
    <cfRule type="cellIs" dxfId="868" priority="2471" operator="equal">
      <formula>"S"</formula>
    </cfRule>
    <cfRule type="cellIs" dxfId="867" priority="2472" operator="equal">
      <formula>"H"</formula>
    </cfRule>
  </conditionalFormatting>
  <conditionalFormatting sqref="AD7:AD43">
    <cfRule type="cellIs" dxfId="866" priority="2465" operator="equal">
      <formula>"DL"</formula>
    </cfRule>
    <cfRule type="cellIs" dxfId="865" priority="2466" operator="equal">
      <formula>"I"</formula>
    </cfRule>
    <cfRule type="cellIs" dxfId="864" priority="2467" operator="equal">
      <formula>"S"</formula>
    </cfRule>
    <cfRule type="cellIs" dxfId="863" priority="2468" operator="equal">
      <formula>"H"</formula>
    </cfRule>
  </conditionalFormatting>
  <conditionalFormatting sqref="AE7:AE43">
    <cfRule type="cellIs" dxfId="862" priority="2461" operator="equal">
      <formula>"DL"</formula>
    </cfRule>
    <cfRule type="cellIs" dxfId="861" priority="2462" operator="equal">
      <formula>"I"</formula>
    </cfRule>
    <cfRule type="cellIs" dxfId="860" priority="2463" operator="equal">
      <formula>"S"</formula>
    </cfRule>
    <cfRule type="cellIs" dxfId="859" priority="2464" operator="equal">
      <formula>"H"</formula>
    </cfRule>
  </conditionalFormatting>
  <conditionalFormatting sqref="AJ7:AJ43">
    <cfRule type="cellIs" dxfId="858" priority="2457" operator="equal">
      <formula>"DL"</formula>
    </cfRule>
    <cfRule type="cellIs" dxfId="857" priority="2458" operator="equal">
      <formula>"I"</formula>
    </cfRule>
    <cfRule type="cellIs" dxfId="856" priority="2459" operator="equal">
      <formula>"S"</formula>
    </cfRule>
    <cfRule type="cellIs" dxfId="855" priority="2460" operator="equal">
      <formula>"H"</formula>
    </cfRule>
  </conditionalFormatting>
  <conditionalFormatting sqref="P7:P43">
    <cfRule type="cellIs" dxfId="854" priority="2453" operator="equal">
      <formula>"DL"</formula>
    </cfRule>
    <cfRule type="cellIs" dxfId="853" priority="2454" operator="equal">
      <formula>"I"</formula>
    </cfRule>
    <cfRule type="cellIs" dxfId="852" priority="2455" operator="equal">
      <formula>"S"</formula>
    </cfRule>
    <cfRule type="cellIs" dxfId="851" priority="2456" operator="equal">
      <formula>"H"</formula>
    </cfRule>
  </conditionalFormatting>
  <conditionalFormatting sqref="R7:R43">
    <cfRule type="cellIs" dxfId="850" priority="2449" operator="equal">
      <formula>"DL"</formula>
    </cfRule>
    <cfRule type="cellIs" dxfId="849" priority="2450" operator="equal">
      <formula>"I"</formula>
    </cfRule>
    <cfRule type="cellIs" dxfId="848" priority="2451" operator="equal">
      <formula>"S"</formula>
    </cfRule>
    <cfRule type="cellIs" dxfId="847" priority="2452" operator="equal">
      <formula>"H"</formula>
    </cfRule>
  </conditionalFormatting>
  <conditionalFormatting sqref="U7:U43">
    <cfRule type="cellIs" dxfId="846" priority="2445" operator="equal">
      <formula>"DL"</formula>
    </cfRule>
    <cfRule type="cellIs" dxfId="845" priority="2446" operator="equal">
      <formula>"I"</formula>
    </cfRule>
    <cfRule type="cellIs" dxfId="844" priority="2447" operator="equal">
      <formula>"S"</formula>
    </cfRule>
    <cfRule type="cellIs" dxfId="843" priority="2448" operator="equal">
      <formula>"H"</formula>
    </cfRule>
  </conditionalFormatting>
  <conditionalFormatting sqref="AH7:AH43">
    <cfRule type="cellIs" dxfId="842" priority="2441" operator="equal">
      <formula>"DL"</formula>
    </cfRule>
    <cfRule type="cellIs" dxfId="841" priority="2442" operator="equal">
      <formula>"I"</formula>
    </cfRule>
    <cfRule type="cellIs" dxfId="840" priority="2443" operator="equal">
      <formula>"S"</formula>
    </cfRule>
    <cfRule type="cellIs" dxfId="839" priority="2444" operator="equal">
      <formula>"H"</formula>
    </cfRule>
  </conditionalFormatting>
  <conditionalFormatting sqref="AK8:AK43">
    <cfRule type="cellIs" dxfId="838" priority="2437" operator="equal">
      <formula>"DL"</formula>
    </cfRule>
    <cfRule type="cellIs" dxfId="837" priority="2438" operator="equal">
      <formula>"I"</formula>
    </cfRule>
    <cfRule type="cellIs" dxfId="836" priority="2439" operator="equal">
      <formula>"S"</formula>
    </cfRule>
    <cfRule type="cellIs" dxfId="835" priority="2440" operator="equal">
      <formula>"H"</formula>
    </cfRule>
  </conditionalFormatting>
  <conditionalFormatting sqref="AI7:AI43">
    <cfRule type="cellIs" dxfId="834" priority="2429" operator="equal">
      <formula>"DL"</formula>
    </cfRule>
    <cfRule type="cellIs" dxfId="833" priority="2430" operator="equal">
      <formula>"I"</formula>
    </cfRule>
    <cfRule type="cellIs" dxfId="832" priority="2431" operator="equal">
      <formula>"S"</formula>
    </cfRule>
    <cfRule type="cellIs" dxfId="831" priority="2432" operator="equal">
      <formula>"H"</formula>
    </cfRule>
  </conditionalFormatting>
  <conditionalFormatting sqref="W7:W43">
    <cfRule type="cellIs" dxfId="830" priority="2425" operator="equal">
      <formula>"DL"</formula>
    </cfRule>
    <cfRule type="cellIs" dxfId="829" priority="2426" operator="equal">
      <formula>"I"</formula>
    </cfRule>
    <cfRule type="cellIs" dxfId="828" priority="2427" operator="equal">
      <formula>"S"</formula>
    </cfRule>
    <cfRule type="cellIs" dxfId="827" priority="2428" operator="equal">
      <formula>"H"</formula>
    </cfRule>
  </conditionalFormatting>
  <conditionalFormatting sqref="Z45:Z56">
    <cfRule type="cellIs" dxfId="826" priority="2205" operator="equal">
      <formula>"DL"</formula>
    </cfRule>
    <cfRule type="cellIs" dxfId="825" priority="2206" operator="equal">
      <formula>"I"</formula>
    </cfRule>
    <cfRule type="cellIs" dxfId="824" priority="2207" operator="equal">
      <formula>"S"</formula>
    </cfRule>
    <cfRule type="cellIs" dxfId="823" priority="2208" operator="equal">
      <formula>"H"</formula>
    </cfRule>
  </conditionalFormatting>
  <conditionalFormatting sqref="AF45:AF56 AK45">
    <cfRule type="cellIs" dxfId="822" priority="2193" operator="equal">
      <formula>"DL"</formula>
    </cfRule>
    <cfRule type="cellIs" dxfId="821" priority="2194" operator="equal">
      <formula>"I"</formula>
    </cfRule>
    <cfRule type="cellIs" dxfId="820" priority="2195" operator="equal">
      <formula>"S"</formula>
    </cfRule>
    <cfRule type="cellIs" dxfId="819" priority="2196" operator="equal">
      <formula>"H"</formula>
    </cfRule>
  </conditionalFormatting>
  <conditionalFormatting sqref="I45:I56 K45:K56 M45:N56">
    <cfRule type="cellIs" dxfId="818" priority="2201" operator="equal">
      <formula>"DL"</formula>
    </cfRule>
    <cfRule type="cellIs" dxfId="817" priority="2202" operator="equal">
      <formula>"I"</formula>
    </cfRule>
    <cfRule type="cellIs" dxfId="816" priority="2203" operator="equal">
      <formula>"S"</formula>
    </cfRule>
    <cfRule type="cellIs" dxfId="815" priority="2204" operator="equal">
      <formula>"H"</formula>
    </cfRule>
  </conditionalFormatting>
  <conditionalFormatting sqref="Q45:Q56 T45:T56">
    <cfRule type="cellIs" dxfId="814" priority="2197" operator="equal">
      <formula>"DL"</formula>
    </cfRule>
    <cfRule type="cellIs" dxfId="813" priority="2198" operator="equal">
      <formula>"I"</formula>
    </cfRule>
    <cfRule type="cellIs" dxfId="812" priority="2199" operator="equal">
      <formula>"S"</formula>
    </cfRule>
    <cfRule type="cellIs" dxfId="811" priority="2200" operator="equal">
      <formula>"H"</formula>
    </cfRule>
  </conditionalFormatting>
  <conditionalFormatting sqref="X45:X56">
    <cfRule type="cellIs" dxfId="810" priority="2189" operator="equal">
      <formula>"DL"</formula>
    </cfRule>
    <cfRule type="cellIs" dxfId="809" priority="2190" operator="equal">
      <formula>"I"</formula>
    </cfRule>
    <cfRule type="cellIs" dxfId="808" priority="2191" operator="equal">
      <formula>"S"</formula>
    </cfRule>
    <cfRule type="cellIs" dxfId="807" priority="2192" operator="equal">
      <formula>"H"</formula>
    </cfRule>
  </conditionalFormatting>
  <conditionalFormatting sqref="J45:J56">
    <cfRule type="cellIs" dxfId="806" priority="2185" operator="equal">
      <formula>"DL"</formula>
    </cfRule>
    <cfRule type="cellIs" dxfId="805" priority="2186" operator="equal">
      <formula>"I"</formula>
    </cfRule>
    <cfRule type="cellIs" dxfId="804" priority="2187" operator="equal">
      <formula>"S"</formula>
    </cfRule>
    <cfRule type="cellIs" dxfId="803" priority="2188" operator="equal">
      <formula>"H"</formula>
    </cfRule>
  </conditionalFormatting>
  <conditionalFormatting sqref="S45:S56">
    <cfRule type="cellIs" dxfId="802" priority="2181" operator="equal">
      <formula>"DL"</formula>
    </cfRule>
    <cfRule type="cellIs" dxfId="801" priority="2182" operator="equal">
      <formula>"I"</formula>
    </cfRule>
    <cfRule type="cellIs" dxfId="800" priority="2183" operator="equal">
      <formula>"S"</formula>
    </cfRule>
    <cfRule type="cellIs" dxfId="799" priority="2184" operator="equal">
      <formula>"H"</formula>
    </cfRule>
  </conditionalFormatting>
  <conditionalFormatting sqref="AG45:AG56">
    <cfRule type="cellIs" dxfId="798" priority="2177" operator="equal">
      <formula>"DL"</formula>
    </cfRule>
    <cfRule type="cellIs" dxfId="797" priority="2178" operator="equal">
      <formula>"I"</formula>
    </cfRule>
    <cfRule type="cellIs" dxfId="796" priority="2179" operator="equal">
      <formula>"S"</formula>
    </cfRule>
    <cfRule type="cellIs" dxfId="795" priority="2180" operator="equal">
      <formula>"H"</formula>
    </cfRule>
  </conditionalFormatting>
  <conditionalFormatting sqref="H45:H56">
    <cfRule type="cellIs" dxfId="794" priority="2173" operator="equal">
      <formula>"DL"</formula>
    </cfRule>
    <cfRule type="cellIs" dxfId="793" priority="2174" operator="equal">
      <formula>"I"</formula>
    </cfRule>
    <cfRule type="cellIs" dxfId="792" priority="2175" operator="equal">
      <formula>"S"</formula>
    </cfRule>
    <cfRule type="cellIs" dxfId="791" priority="2176" operator="equal">
      <formula>"H"</formula>
    </cfRule>
  </conditionalFormatting>
  <conditionalFormatting sqref="O45:O56">
    <cfRule type="cellIs" dxfId="790" priority="2165" operator="equal">
      <formula>"DL"</formula>
    </cfRule>
    <cfRule type="cellIs" dxfId="789" priority="2166" operator="equal">
      <formula>"I"</formula>
    </cfRule>
    <cfRule type="cellIs" dxfId="788" priority="2167" operator="equal">
      <formula>"S"</formula>
    </cfRule>
    <cfRule type="cellIs" dxfId="787" priority="2168" operator="equal">
      <formula>"H"</formula>
    </cfRule>
  </conditionalFormatting>
  <conditionalFormatting sqref="V45:V56">
    <cfRule type="cellIs" dxfId="786" priority="2161" operator="equal">
      <formula>"DL"</formula>
    </cfRule>
    <cfRule type="cellIs" dxfId="785" priority="2162" operator="equal">
      <formula>"I"</formula>
    </cfRule>
    <cfRule type="cellIs" dxfId="784" priority="2163" operator="equal">
      <formula>"S"</formula>
    </cfRule>
    <cfRule type="cellIs" dxfId="783" priority="2164" operator="equal">
      <formula>"H"</formula>
    </cfRule>
  </conditionalFormatting>
  <conditionalFormatting sqref="Y45:Y56">
    <cfRule type="cellIs" dxfId="782" priority="2157" operator="equal">
      <formula>"DL"</formula>
    </cfRule>
    <cfRule type="cellIs" dxfId="781" priority="2158" operator="equal">
      <formula>"I"</formula>
    </cfRule>
    <cfRule type="cellIs" dxfId="780" priority="2159" operator="equal">
      <formula>"S"</formula>
    </cfRule>
    <cfRule type="cellIs" dxfId="779" priority="2160" operator="equal">
      <formula>"H"</formula>
    </cfRule>
  </conditionalFormatting>
  <conditionalFormatting sqref="AA45:AA56">
    <cfRule type="cellIs" dxfId="778" priority="2153" operator="equal">
      <formula>"DL"</formula>
    </cfRule>
    <cfRule type="cellIs" dxfId="777" priority="2154" operator="equal">
      <formula>"I"</formula>
    </cfRule>
    <cfRule type="cellIs" dxfId="776" priority="2155" operator="equal">
      <formula>"S"</formula>
    </cfRule>
    <cfRule type="cellIs" dxfId="775" priority="2156" operator="equal">
      <formula>"H"</formula>
    </cfRule>
  </conditionalFormatting>
  <conditionalFormatting sqref="AB45:AB56">
    <cfRule type="cellIs" dxfId="774" priority="2149" operator="equal">
      <formula>"DL"</formula>
    </cfRule>
    <cfRule type="cellIs" dxfId="773" priority="2150" operator="equal">
      <formula>"I"</formula>
    </cfRule>
    <cfRule type="cellIs" dxfId="772" priority="2151" operator="equal">
      <formula>"S"</formula>
    </cfRule>
    <cfRule type="cellIs" dxfId="771" priority="2152" operator="equal">
      <formula>"H"</formula>
    </cfRule>
  </conditionalFormatting>
  <conditionalFormatting sqref="AC45:AC56">
    <cfRule type="cellIs" dxfId="770" priority="2145" operator="equal">
      <formula>"DL"</formula>
    </cfRule>
    <cfRule type="cellIs" dxfId="769" priority="2146" operator="equal">
      <formula>"I"</formula>
    </cfRule>
    <cfRule type="cellIs" dxfId="768" priority="2147" operator="equal">
      <formula>"S"</formula>
    </cfRule>
    <cfRule type="cellIs" dxfId="767" priority="2148" operator="equal">
      <formula>"H"</formula>
    </cfRule>
  </conditionalFormatting>
  <conditionalFormatting sqref="AD45:AD56">
    <cfRule type="cellIs" dxfId="766" priority="2141" operator="equal">
      <formula>"DL"</formula>
    </cfRule>
    <cfRule type="cellIs" dxfId="765" priority="2142" operator="equal">
      <formula>"I"</formula>
    </cfRule>
    <cfRule type="cellIs" dxfId="764" priority="2143" operator="equal">
      <formula>"S"</formula>
    </cfRule>
    <cfRule type="cellIs" dxfId="763" priority="2144" operator="equal">
      <formula>"H"</formula>
    </cfRule>
  </conditionalFormatting>
  <conditionalFormatting sqref="AE45:AE56">
    <cfRule type="cellIs" dxfId="762" priority="2137" operator="equal">
      <formula>"DL"</formula>
    </cfRule>
    <cfRule type="cellIs" dxfId="761" priority="2138" operator="equal">
      <formula>"I"</formula>
    </cfRule>
    <cfRule type="cellIs" dxfId="760" priority="2139" operator="equal">
      <formula>"S"</formula>
    </cfRule>
    <cfRule type="cellIs" dxfId="759" priority="2140" operator="equal">
      <formula>"H"</formula>
    </cfRule>
  </conditionalFormatting>
  <conditionalFormatting sqref="AJ45:AJ56">
    <cfRule type="cellIs" dxfId="758" priority="2133" operator="equal">
      <formula>"DL"</formula>
    </cfRule>
    <cfRule type="cellIs" dxfId="757" priority="2134" operator="equal">
      <formula>"I"</formula>
    </cfRule>
    <cfRule type="cellIs" dxfId="756" priority="2135" operator="equal">
      <formula>"S"</formula>
    </cfRule>
    <cfRule type="cellIs" dxfId="755" priority="2136" operator="equal">
      <formula>"H"</formula>
    </cfRule>
  </conditionalFormatting>
  <conditionalFormatting sqref="P45:P56">
    <cfRule type="cellIs" dxfId="754" priority="2129" operator="equal">
      <formula>"DL"</formula>
    </cfRule>
    <cfRule type="cellIs" dxfId="753" priority="2130" operator="equal">
      <formula>"I"</formula>
    </cfRule>
    <cfRule type="cellIs" dxfId="752" priority="2131" operator="equal">
      <formula>"S"</formula>
    </cfRule>
    <cfRule type="cellIs" dxfId="751" priority="2132" operator="equal">
      <formula>"H"</formula>
    </cfRule>
  </conditionalFormatting>
  <conditionalFormatting sqref="R45:R56">
    <cfRule type="cellIs" dxfId="750" priority="2125" operator="equal">
      <formula>"DL"</formula>
    </cfRule>
    <cfRule type="cellIs" dxfId="749" priority="2126" operator="equal">
      <formula>"I"</formula>
    </cfRule>
    <cfRule type="cellIs" dxfId="748" priority="2127" operator="equal">
      <formula>"S"</formula>
    </cfRule>
    <cfRule type="cellIs" dxfId="747" priority="2128" operator="equal">
      <formula>"H"</formula>
    </cfRule>
  </conditionalFormatting>
  <conditionalFormatting sqref="U45:U56">
    <cfRule type="cellIs" dxfId="746" priority="2121" operator="equal">
      <formula>"DL"</formula>
    </cfRule>
    <cfRule type="cellIs" dxfId="745" priority="2122" operator="equal">
      <formula>"I"</formula>
    </cfRule>
    <cfRule type="cellIs" dxfId="744" priority="2123" operator="equal">
      <formula>"S"</formula>
    </cfRule>
    <cfRule type="cellIs" dxfId="743" priority="2124" operator="equal">
      <formula>"H"</formula>
    </cfRule>
  </conditionalFormatting>
  <conditionalFormatting sqref="AH45:AH56">
    <cfRule type="cellIs" dxfId="742" priority="2117" operator="equal">
      <formula>"DL"</formula>
    </cfRule>
    <cfRule type="cellIs" dxfId="741" priority="2118" operator="equal">
      <formula>"I"</formula>
    </cfRule>
    <cfRule type="cellIs" dxfId="740" priority="2119" operator="equal">
      <formula>"S"</formula>
    </cfRule>
    <cfRule type="cellIs" dxfId="739" priority="2120" operator="equal">
      <formula>"H"</formula>
    </cfRule>
  </conditionalFormatting>
  <conditionalFormatting sqref="AK46:AK56">
    <cfRule type="cellIs" dxfId="738" priority="2113" operator="equal">
      <formula>"DL"</formula>
    </cfRule>
    <cfRule type="cellIs" dxfId="737" priority="2114" operator="equal">
      <formula>"I"</formula>
    </cfRule>
    <cfRule type="cellIs" dxfId="736" priority="2115" operator="equal">
      <formula>"S"</formula>
    </cfRule>
    <cfRule type="cellIs" dxfId="735" priority="2116" operator="equal">
      <formula>"H"</formula>
    </cfRule>
  </conditionalFormatting>
  <conditionalFormatting sqref="AI45:AI56">
    <cfRule type="cellIs" dxfId="734" priority="2105" operator="equal">
      <formula>"DL"</formula>
    </cfRule>
    <cfRule type="cellIs" dxfId="733" priority="2106" operator="equal">
      <formula>"I"</formula>
    </cfRule>
    <cfRule type="cellIs" dxfId="732" priority="2107" operator="equal">
      <formula>"S"</formula>
    </cfRule>
    <cfRule type="cellIs" dxfId="731" priority="2108" operator="equal">
      <formula>"H"</formula>
    </cfRule>
  </conditionalFormatting>
  <conditionalFormatting sqref="W45:W56">
    <cfRule type="cellIs" dxfId="730" priority="2101" operator="equal">
      <formula>"DL"</formula>
    </cfRule>
    <cfRule type="cellIs" dxfId="729" priority="2102" operator="equal">
      <formula>"I"</formula>
    </cfRule>
    <cfRule type="cellIs" dxfId="728" priority="2103" operator="equal">
      <formula>"S"</formula>
    </cfRule>
    <cfRule type="cellIs" dxfId="727" priority="2104" operator="equal">
      <formula>"H"</formula>
    </cfRule>
  </conditionalFormatting>
  <conditionalFormatting sqref="Z44">
    <cfRule type="cellIs" dxfId="726" priority="2313" operator="equal">
      <formula>"DL"</formula>
    </cfRule>
    <cfRule type="cellIs" dxfId="725" priority="2314" operator="equal">
      <formula>"I"</formula>
    </cfRule>
    <cfRule type="cellIs" dxfId="724" priority="2315" operator="equal">
      <formula>"S"</formula>
    </cfRule>
    <cfRule type="cellIs" dxfId="723" priority="2316" operator="equal">
      <formula>"H"</formula>
    </cfRule>
  </conditionalFormatting>
  <conditionalFormatting sqref="AF44 AK44">
    <cfRule type="cellIs" dxfId="722" priority="2301" operator="equal">
      <formula>"DL"</formula>
    </cfRule>
    <cfRule type="cellIs" dxfId="721" priority="2302" operator="equal">
      <formula>"I"</formula>
    </cfRule>
    <cfRule type="cellIs" dxfId="720" priority="2303" operator="equal">
      <formula>"S"</formula>
    </cfRule>
    <cfRule type="cellIs" dxfId="719" priority="2304" operator="equal">
      <formula>"H"</formula>
    </cfRule>
  </conditionalFormatting>
  <conditionalFormatting sqref="I44 K44 M44:N44">
    <cfRule type="cellIs" dxfId="718" priority="2309" operator="equal">
      <formula>"DL"</formula>
    </cfRule>
    <cfRule type="cellIs" dxfId="717" priority="2310" operator="equal">
      <formula>"I"</formula>
    </cfRule>
    <cfRule type="cellIs" dxfId="716" priority="2311" operator="equal">
      <formula>"S"</formula>
    </cfRule>
    <cfRule type="cellIs" dxfId="715" priority="2312" operator="equal">
      <formula>"H"</formula>
    </cfRule>
  </conditionalFormatting>
  <conditionalFormatting sqref="Q44 T44">
    <cfRule type="cellIs" dxfId="714" priority="2305" operator="equal">
      <formula>"DL"</formula>
    </cfRule>
    <cfRule type="cellIs" dxfId="713" priority="2306" operator="equal">
      <formula>"I"</formula>
    </cfRule>
    <cfRule type="cellIs" dxfId="712" priority="2307" operator="equal">
      <formula>"S"</formula>
    </cfRule>
    <cfRule type="cellIs" dxfId="711" priority="2308" operator="equal">
      <formula>"H"</formula>
    </cfRule>
  </conditionalFormatting>
  <conditionalFormatting sqref="X44">
    <cfRule type="cellIs" dxfId="710" priority="2297" operator="equal">
      <formula>"DL"</formula>
    </cfRule>
    <cfRule type="cellIs" dxfId="709" priority="2298" operator="equal">
      <formula>"I"</formula>
    </cfRule>
    <cfRule type="cellIs" dxfId="708" priority="2299" operator="equal">
      <formula>"S"</formula>
    </cfRule>
    <cfRule type="cellIs" dxfId="707" priority="2300" operator="equal">
      <formula>"H"</formula>
    </cfRule>
  </conditionalFormatting>
  <conditionalFormatting sqref="J44">
    <cfRule type="cellIs" dxfId="706" priority="2293" operator="equal">
      <formula>"DL"</formula>
    </cfRule>
    <cfRule type="cellIs" dxfId="705" priority="2294" operator="equal">
      <formula>"I"</formula>
    </cfRule>
    <cfRule type="cellIs" dxfId="704" priority="2295" operator="equal">
      <formula>"S"</formula>
    </cfRule>
    <cfRule type="cellIs" dxfId="703" priority="2296" operator="equal">
      <formula>"H"</formula>
    </cfRule>
  </conditionalFormatting>
  <conditionalFormatting sqref="S44">
    <cfRule type="cellIs" dxfId="702" priority="2289" operator="equal">
      <formula>"DL"</formula>
    </cfRule>
    <cfRule type="cellIs" dxfId="701" priority="2290" operator="equal">
      <formula>"I"</formula>
    </cfRule>
    <cfRule type="cellIs" dxfId="700" priority="2291" operator="equal">
      <formula>"S"</formula>
    </cfRule>
    <cfRule type="cellIs" dxfId="699" priority="2292" operator="equal">
      <formula>"H"</formula>
    </cfRule>
  </conditionalFormatting>
  <conditionalFormatting sqref="AG44">
    <cfRule type="cellIs" dxfId="698" priority="2285" operator="equal">
      <formula>"DL"</formula>
    </cfRule>
    <cfRule type="cellIs" dxfId="697" priority="2286" operator="equal">
      <formula>"I"</formula>
    </cfRule>
    <cfRule type="cellIs" dxfId="696" priority="2287" operator="equal">
      <formula>"S"</formula>
    </cfRule>
    <cfRule type="cellIs" dxfId="695" priority="2288" operator="equal">
      <formula>"H"</formula>
    </cfRule>
  </conditionalFormatting>
  <conditionalFormatting sqref="H44">
    <cfRule type="cellIs" dxfId="694" priority="2281" operator="equal">
      <formula>"DL"</formula>
    </cfRule>
    <cfRule type="cellIs" dxfId="693" priority="2282" operator="equal">
      <formula>"I"</formula>
    </cfRule>
    <cfRule type="cellIs" dxfId="692" priority="2283" operator="equal">
      <formula>"S"</formula>
    </cfRule>
    <cfRule type="cellIs" dxfId="691" priority="2284" operator="equal">
      <formula>"H"</formula>
    </cfRule>
  </conditionalFormatting>
  <conditionalFormatting sqref="O44">
    <cfRule type="cellIs" dxfId="690" priority="2273" operator="equal">
      <formula>"DL"</formula>
    </cfRule>
    <cfRule type="cellIs" dxfId="689" priority="2274" operator="equal">
      <formula>"I"</formula>
    </cfRule>
    <cfRule type="cellIs" dxfId="688" priority="2275" operator="equal">
      <formula>"S"</formula>
    </cfRule>
    <cfRule type="cellIs" dxfId="687" priority="2276" operator="equal">
      <formula>"H"</formula>
    </cfRule>
  </conditionalFormatting>
  <conditionalFormatting sqref="AA44">
    <cfRule type="cellIs" dxfId="686" priority="2261" operator="equal">
      <formula>"DL"</formula>
    </cfRule>
    <cfRule type="cellIs" dxfId="685" priority="2262" operator="equal">
      <formula>"I"</formula>
    </cfRule>
    <cfRule type="cellIs" dxfId="684" priority="2263" operator="equal">
      <formula>"S"</formula>
    </cfRule>
    <cfRule type="cellIs" dxfId="683" priority="2264" operator="equal">
      <formula>"H"</formula>
    </cfRule>
  </conditionalFormatting>
  <conditionalFormatting sqref="AB44">
    <cfRule type="cellIs" dxfId="682" priority="2257" operator="equal">
      <formula>"DL"</formula>
    </cfRule>
    <cfRule type="cellIs" dxfId="681" priority="2258" operator="equal">
      <formula>"I"</formula>
    </cfRule>
    <cfRule type="cellIs" dxfId="680" priority="2259" operator="equal">
      <formula>"S"</formula>
    </cfRule>
    <cfRule type="cellIs" dxfId="679" priority="2260" operator="equal">
      <formula>"H"</formula>
    </cfRule>
  </conditionalFormatting>
  <conditionalFormatting sqref="AC44">
    <cfRule type="cellIs" dxfId="678" priority="2253" operator="equal">
      <formula>"DL"</formula>
    </cfRule>
    <cfRule type="cellIs" dxfId="677" priority="2254" operator="equal">
      <formula>"I"</formula>
    </cfRule>
    <cfRule type="cellIs" dxfId="676" priority="2255" operator="equal">
      <formula>"S"</formula>
    </cfRule>
    <cfRule type="cellIs" dxfId="675" priority="2256" operator="equal">
      <formula>"H"</formula>
    </cfRule>
  </conditionalFormatting>
  <conditionalFormatting sqref="P44">
    <cfRule type="cellIs" dxfId="674" priority="2237" operator="equal">
      <formula>"DL"</formula>
    </cfRule>
    <cfRule type="cellIs" dxfId="673" priority="2238" operator="equal">
      <formula>"I"</formula>
    </cfRule>
    <cfRule type="cellIs" dxfId="672" priority="2239" operator="equal">
      <formula>"S"</formula>
    </cfRule>
    <cfRule type="cellIs" dxfId="671" priority="2240" operator="equal">
      <formula>"H"</formula>
    </cfRule>
  </conditionalFormatting>
  <conditionalFormatting sqref="R44">
    <cfRule type="cellIs" dxfId="670" priority="2233" operator="equal">
      <formula>"DL"</formula>
    </cfRule>
    <cfRule type="cellIs" dxfId="669" priority="2234" operator="equal">
      <formula>"I"</formula>
    </cfRule>
    <cfRule type="cellIs" dxfId="668" priority="2235" operator="equal">
      <formula>"S"</formula>
    </cfRule>
    <cfRule type="cellIs" dxfId="667" priority="2236" operator="equal">
      <formula>"H"</formula>
    </cfRule>
  </conditionalFormatting>
  <conditionalFormatting sqref="U44">
    <cfRule type="cellIs" dxfId="666" priority="2229" operator="equal">
      <formula>"DL"</formula>
    </cfRule>
    <cfRule type="cellIs" dxfId="665" priority="2230" operator="equal">
      <formula>"I"</formula>
    </cfRule>
    <cfRule type="cellIs" dxfId="664" priority="2231" operator="equal">
      <formula>"S"</formula>
    </cfRule>
    <cfRule type="cellIs" dxfId="663" priority="2232" operator="equal">
      <formula>"H"</formula>
    </cfRule>
  </conditionalFormatting>
  <conditionalFormatting sqref="AI44">
    <cfRule type="cellIs" dxfId="662" priority="2213" operator="equal">
      <formula>"DL"</formula>
    </cfRule>
    <cfRule type="cellIs" dxfId="661" priority="2214" operator="equal">
      <formula>"I"</formula>
    </cfRule>
    <cfRule type="cellIs" dxfId="660" priority="2215" operator="equal">
      <formula>"S"</formula>
    </cfRule>
    <cfRule type="cellIs" dxfId="659" priority="2216" operator="equal">
      <formula>"H"</formula>
    </cfRule>
  </conditionalFormatting>
  <conditionalFormatting sqref="L7:L43">
    <cfRule type="cellIs" dxfId="658" priority="1481" operator="equal">
      <formula>"DL"</formula>
    </cfRule>
    <cfRule type="cellIs" dxfId="657" priority="1482" operator="equal">
      <formula>"I"</formula>
    </cfRule>
    <cfRule type="cellIs" dxfId="656" priority="1483" operator="equal">
      <formula>"S"</formula>
    </cfRule>
    <cfRule type="cellIs" dxfId="655" priority="1484" operator="equal">
      <formula>"H"</formula>
    </cfRule>
  </conditionalFormatting>
  <conditionalFormatting sqref="L45:L56">
    <cfRule type="cellIs" dxfId="654" priority="1473" operator="equal">
      <formula>"DL"</formula>
    </cfRule>
    <cfRule type="cellIs" dxfId="653" priority="1474" operator="equal">
      <formula>"I"</formula>
    </cfRule>
    <cfRule type="cellIs" dxfId="652" priority="1475" operator="equal">
      <formula>"S"</formula>
    </cfRule>
    <cfRule type="cellIs" dxfId="651" priority="1476" operator="equal">
      <formula>"H"</formula>
    </cfRule>
  </conditionalFormatting>
  <conditionalFormatting sqref="L44">
    <cfRule type="cellIs" dxfId="650" priority="1477" operator="equal">
      <formula>"DL"</formula>
    </cfRule>
    <cfRule type="cellIs" dxfId="649" priority="1478" operator="equal">
      <formula>"I"</formula>
    </cfRule>
    <cfRule type="cellIs" dxfId="648" priority="1479" operator="equal">
      <formula>"S"</formula>
    </cfRule>
    <cfRule type="cellIs" dxfId="647" priority="1480" operator="equal">
      <formula>"H"</formula>
    </cfRule>
  </conditionalFormatting>
  <conditionalFormatting sqref="I70:I106 K70:K106 M70:N106">
    <cfRule type="cellIs" dxfId="646" priority="1441" operator="equal">
      <formula>"DL"</formula>
    </cfRule>
    <cfRule type="cellIs" dxfId="645" priority="1442" operator="equal">
      <formula>"I"</formula>
    </cfRule>
    <cfRule type="cellIs" dxfId="644" priority="1443" operator="equal">
      <formula>"S"</formula>
    </cfRule>
    <cfRule type="cellIs" dxfId="643" priority="1444" operator="equal">
      <formula>"H"</formula>
    </cfRule>
  </conditionalFormatting>
  <conditionalFormatting sqref="Q70:Q106">
    <cfRule type="cellIs" dxfId="642" priority="1437" operator="equal">
      <formula>"DL"</formula>
    </cfRule>
    <cfRule type="cellIs" dxfId="641" priority="1438" operator="equal">
      <formula>"I"</formula>
    </cfRule>
    <cfRule type="cellIs" dxfId="640" priority="1439" operator="equal">
      <formula>"S"</formula>
    </cfRule>
    <cfRule type="cellIs" dxfId="639" priority="1440" operator="equal">
      <formula>"H"</formula>
    </cfRule>
  </conditionalFormatting>
  <conditionalFormatting sqref="J70:J106">
    <cfRule type="cellIs" dxfId="638" priority="1425" operator="equal">
      <formula>"DL"</formula>
    </cfRule>
    <cfRule type="cellIs" dxfId="637" priority="1426" operator="equal">
      <formula>"I"</formula>
    </cfRule>
    <cfRule type="cellIs" dxfId="636" priority="1427" operator="equal">
      <formula>"S"</formula>
    </cfRule>
    <cfRule type="cellIs" dxfId="635" priority="1428" operator="equal">
      <formula>"H"</formula>
    </cfRule>
  </conditionalFormatting>
  <conditionalFormatting sqref="H70:H106">
    <cfRule type="cellIs" dxfId="634" priority="1413" operator="equal">
      <formula>"DL"</formula>
    </cfRule>
    <cfRule type="cellIs" dxfId="633" priority="1414" operator="equal">
      <formula>"I"</formula>
    </cfRule>
    <cfRule type="cellIs" dxfId="632" priority="1415" operator="equal">
      <formula>"S"</formula>
    </cfRule>
    <cfRule type="cellIs" dxfId="631" priority="1416" operator="equal">
      <formula>"H"</formula>
    </cfRule>
  </conditionalFormatting>
  <conditionalFormatting sqref="O70:O106">
    <cfRule type="cellIs" dxfId="630" priority="1409" operator="equal">
      <formula>"DL"</formula>
    </cfRule>
    <cfRule type="cellIs" dxfId="629" priority="1410" operator="equal">
      <formula>"I"</formula>
    </cfRule>
    <cfRule type="cellIs" dxfId="628" priority="1411" operator="equal">
      <formula>"S"</formula>
    </cfRule>
    <cfRule type="cellIs" dxfId="627" priority="1412" operator="equal">
      <formula>"H"</formula>
    </cfRule>
  </conditionalFormatting>
  <conditionalFormatting sqref="P70:P106">
    <cfRule type="cellIs" dxfId="626" priority="1373" operator="equal">
      <formula>"DL"</formula>
    </cfRule>
    <cfRule type="cellIs" dxfId="625" priority="1374" operator="equal">
      <formula>"I"</formula>
    </cfRule>
    <cfRule type="cellIs" dxfId="624" priority="1375" operator="equal">
      <formula>"S"</formula>
    </cfRule>
    <cfRule type="cellIs" dxfId="623" priority="1376" operator="equal">
      <formula>"H"</formula>
    </cfRule>
  </conditionalFormatting>
  <conditionalFormatting sqref="I108:I119 K108:K119 M108:N119">
    <cfRule type="cellIs" dxfId="622" priority="1245" operator="equal">
      <formula>"DL"</formula>
    </cfRule>
    <cfRule type="cellIs" dxfId="621" priority="1246" operator="equal">
      <formula>"I"</formula>
    </cfRule>
    <cfRule type="cellIs" dxfId="620" priority="1247" operator="equal">
      <formula>"S"</formula>
    </cfRule>
    <cfRule type="cellIs" dxfId="619" priority="1248" operator="equal">
      <formula>"H"</formula>
    </cfRule>
  </conditionalFormatting>
  <conditionalFormatting sqref="Q108:Q119">
    <cfRule type="cellIs" dxfId="618" priority="1241" operator="equal">
      <formula>"DL"</formula>
    </cfRule>
    <cfRule type="cellIs" dxfId="617" priority="1242" operator="equal">
      <formula>"I"</formula>
    </cfRule>
    <cfRule type="cellIs" dxfId="616" priority="1243" operator="equal">
      <formula>"S"</formula>
    </cfRule>
    <cfRule type="cellIs" dxfId="615" priority="1244" operator="equal">
      <formula>"H"</formula>
    </cfRule>
  </conditionalFormatting>
  <conditionalFormatting sqref="J108:J119">
    <cfRule type="cellIs" dxfId="614" priority="1229" operator="equal">
      <formula>"DL"</formula>
    </cfRule>
    <cfRule type="cellIs" dxfId="613" priority="1230" operator="equal">
      <formula>"I"</formula>
    </cfRule>
    <cfRule type="cellIs" dxfId="612" priority="1231" operator="equal">
      <formula>"S"</formula>
    </cfRule>
    <cfRule type="cellIs" dxfId="611" priority="1232" operator="equal">
      <formula>"H"</formula>
    </cfRule>
  </conditionalFormatting>
  <conditionalFormatting sqref="H108:H119">
    <cfRule type="cellIs" dxfId="610" priority="1217" operator="equal">
      <formula>"DL"</formula>
    </cfRule>
    <cfRule type="cellIs" dxfId="609" priority="1218" operator="equal">
      <formula>"I"</formula>
    </cfRule>
    <cfRule type="cellIs" dxfId="608" priority="1219" operator="equal">
      <formula>"S"</formula>
    </cfRule>
    <cfRule type="cellIs" dxfId="607" priority="1220" operator="equal">
      <formula>"H"</formula>
    </cfRule>
  </conditionalFormatting>
  <conditionalFormatting sqref="O108:O119">
    <cfRule type="cellIs" dxfId="606" priority="1213" operator="equal">
      <formula>"DL"</formula>
    </cfRule>
    <cfRule type="cellIs" dxfId="605" priority="1214" operator="equal">
      <formula>"I"</formula>
    </cfRule>
    <cfRule type="cellIs" dxfId="604" priority="1215" operator="equal">
      <formula>"S"</formula>
    </cfRule>
    <cfRule type="cellIs" dxfId="603" priority="1216" operator="equal">
      <formula>"H"</formula>
    </cfRule>
  </conditionalFormatting>
  <conditionalFormatting sqref="P108:P119">
    <cfRule type="cellIs" dxfId="602" priority="1177" operator="equal">
      <formula>"DL"</formula>
    </cfRule>
    <cfRule type="cellIs" dxfId="601" priority="1178" operator="equal">
      <formula>"I"</formula>
    </cfRule>
    <cfRule type="cellIs" dxfId="600" priority="1179" operator="equal">
      <formula>"S"</formula>
    </cfRule>
    <cfRule type="cellIs" dxfId="599" priority="1180" operator="equal">
      <formula>"H"</formula>
    </cfRule>
  </conditionalFormatting>
  <conditionalFormatting sqref="I107 K107 M107:N107">
    <cfRule type="cellIs" dxfId="598" priority="1341" operator="equal">
      <formula>"DL"</formula>
    </cfRule>
    <cfRule type="cellIs" dxfId="597" priority="1342" operator="equal">
      <formula>"I"</formula>
    </cfRule>
    <cfRule type="cellIs" dxfId="596" priority="1343" operator="equal">
      <formula>"S"</formula>
    </cfRule>
    <cfRule type="cellIs" dxfId="595" priority="1344" operator="equal">
      <formula>"H"</formula>
    </cfRule>
  </conditionalFormatting>
  <conditionalFormatting sqref="Q107">
    <cfRule type="cellIs" dxfId="594" priority="1337" operator="equal">
      <formula>"DL"</formula>
    </cfRule>
    <cfRule type="cellIs" dxfId="593" priority="1338" operator="equal">
      <formula>"I"</formula>
    </cfRule>
    <cfRule type="cellIs" dxfId="592" priority="1339" operator="equal">
      <formula>"S"</formula>
    </cfRule>
    <cfRule type="cellIs" dxfId="591" priority="1340" operator="equal">
      <formula>"H"</formula>
    </cfRule>
  </conditionalFormatting>
  <conditionalFormatting sqref="J107">
    <cfRule type="cellIs" dxfId="590" priority="1325" operator="equal">
      <formula>"DL"</formula>
    </cfRule>
    <cfRule type="cellIs" dxfId="589" priority="1326" operator="equal">
      <formula>"I"</formula>
    </cfRule>
    <cfRule type="cellIs" dxfId="588" priority="1327" operator="equal">
      <formula>"S"</formula>
    </cfRule>
    <cfRule type="cellIs" dxfId="587" priority="1328" operator="equal">
      <formula>"H"</formula>
    </cfRule>
  </conditionalFormatting>
  <conditionalFormatting sqref="H107">
    <cfRule type="cellIs" dxfId="586" priority="1313" operator="equal">
      <formula>"DL"</formula>
    </cfRule>
    <cfRule type="cellIs" dxfId="585" priority="1314" operator="equal">
      <formula>"I"</formula>
    </cfRule>
    <cfRule type="cellIs" dxfId="584" priority="1315" operator="equal">
      <formula>"S"</formula>
    </cfRule>
    <cfRule type="cellIs" dxfId="583" priority="1316" operator="equal">
      <formula>"H"</formula>
    </cfRule>
  </conditionalFormatting>
  <conditionalFormatting sqref="O107">
    <cfRule type="cellIs" dxfId="582" priority="1309" operator="equal">
      <formula>"DL"</formula>
    </cfRule>
    <cfRule type="cellIs" dxfId="581" priority="1310" operator="equal">
      <formula>"I"</formula>
    </cfRule>
    <cfRule type="cellIs" dxfId="580" priority="1311" operator="equal">
      <formula>"S"</formula>
    </cfRule>
    <cfRule type="cellIs" dxfId="579" priority="1312" operator="equal">
      <formula>"H"</formula>
    </cfRule>
  </conditionalFormatting>
  <conditionalFormatting sqref="P107">
    <cfRule type="cellIs" dxfId="578" priority="1273" operator="equal">
      <formula>"DL"</formula>
    </cfRule>
    <cfRule type="cellIs" dxfId="577" priority="1274" operator="equal">
      <formula>"I"</formula>
    </cfRule>
    <cfRule type="cellIs" dxfId="576" priority="1275" operator="equal">
      <formula>"S"</formula>
    </cfRule>
    <cfRule type="cellIs" dxfId="575" priority="1276" operator="equal">
      <formula>"H"</formula>
    </cfRule>
  </conditionalFormatting>
  <conditionalFormatting sqref="L70:L106">
    <cfRule type="cellIs" dxfId="574" priority="1149" operator="equal">
      <formula>"DL"</formula>
    </cfRule>
    <cfRule type="cellIs" dxfId="573" priority="1150" operator="equal">
      <formula>"I"</formula>
    </cfRule>
    <cfRule type="cellIs" dxfId="572" priority="1151" operator="equal">
      <formula>"S"</formula>
    </cfRule>
    <cfRule type="cellIs" dxfId="571" priority="1152" operator="equal">
      <formula>"H"</formula>
    </cfRule>
  </conditionalFormatting>
  <conditionalFormatting sqref="L108:L119">
    <cfRule type="cellIs" dxfId="570" priority="1141" operator="equal">
      <formula>"DL"</formula>
    </cfRule>
    <cfRule type="cellIs" dxfId="569" priority="1142" operator="equal">
      <formula>"I"</formula>
    </cfRule>
    <cfRule type="cellIs" dxfId="568" priority="1143" operator="equal">
      <formula>"S"</formula>
    </cfRule>
    <cfRule type="cellIs" dxfId="567" priority="1144" operator="equal">
      <formula>"H"</formula>
    </cfRule>
  </conditionalFormatting>
  <conditionalFormatting sqref="L107">
    <cfRule type="cellIs" dxfId="566" priority="1145" operator="equal">
      <formula>"DL"</formula>
    </cfRule>
    <cfRule type="cellIs" dxfId="565" priority="1146" operator="equal">
      <formula>"I"</formula>
    </cfRule>
    <cfRule type="cellIs" dxfId="564" priority="1147" operator="equal">
      <formula>"S"</formula>
    </cfRule>
    <cfRule type="cellIs" dxfId="563" priority="1148" operator="equal">
      <formula>"H"</formula>
    </cfRule>
  </conditionalFormatting>
  <conditionalFormatting sqref="I134:I170 K134:K170 M134:N170">
    <cfRule type="cellIs" dxfId="562" priority="1133" operator="equal">
      <formula>"DL"</formula>
    </cfRule>
    <cfRule type="cellIs" dxfId="561" priority="1134" operator="equal">
      <formula>"I"</formula>
    </cfRule>
    <cfRule type="cellIs" dxfId="560" priority="1135" operator="equal">
      <formula>"S"</formula>
    </cfRule>
    <cfRule type="cellIs" dxfId="559" priority="1136" operator="equal">
      <formula>"H"</formula>
    </cfRule>
  </conditionalFormatting>
  <conditionalFormatting sqref="Q134:Q170">
    <cfRule type="cellIs" dxfId="558" priority="1129" operator="equal">
      <formula>"DL"</formula>
    </cfRule>
    <cfRule type="cellIs" dxfId="557" priority="1130" operator="equal">
      <formula>"I"</formula>
    </cfRule>
    <cfRule type="cellIs" dxfId="556" priority="1131" operator="equal">
      <formula>"S"</formula>
    </cfRule>
    <cfRule type="cellIs" dxfId="555" priority="1132" operator="equal">
      <formula>"H"</formula>
    </cfRule>
  </conditionalFormatting>
  <conditionalFormatting sqref="V171">
    <cfRule type="cellIs" dxfId="554" priority="997" operator="equal">
      <formula>"DL"</formula>
    </cfRule>
    <cfRule type="cellIs" dxfId="553" priority="998" operator="equal">
      <formula>"I"</formula>
    </cfRule>
    <cfRule type="cellIs" dxfId="552" priority="999" operator="equal">
      <formula>"S"</formula>
    </cfRule>
    <cfRule type="cellIs" dxfId="551" priority="1000" operator="equal">
      <formula>"H"</formula>
    </cfRule>
  </conditionalFormatting>
  <conditionalFormatting sqref="J134:J170">
    <cfRule type="cellIs" dxfId="550" priority="1117" operator="equal">
      <formula>"DL"</formula>
    </cfRule>
    <cfRule type="cellIs" dxfId="549" priority="1118" operator="equal">
      <formula>"I"</formula>
    </cfRule>
    <cfRule type="cellIs" dxfId="548" priority="1119" operator="equal">
      <formula>"S"</formula>
    </cfRule>
    <cfRule type="cellIs" dxfId="547" priority="1120" operator="equal">
      <formula>"H"</formula>
    </cfRule>
  </conditionalFormatting>
  <conditionalFormatting sqref="H134:H170">
    <cfRule type="cellIs" dxfId="546" priority="1105" operator="equal">
      <formula>"DL"</formula>
    </cfRule>
    <cfRule type="cellIs" dxfId="545" priority="1106" operator="equal">
      <formula>"I"</formula>
    </cfRule>
    <cfRule type="cellIs" dxfId="544" priority="1107" operator="equal">
      <formula>"S"</formula>
    </cfRule>
    <cfRule type="cellIs" dxfId="543" priority="1108" operator="equal">
      <formula>"H"</formula>
    </cfRule>
  </conditionalFormatting>
  <conditionalFormatting sqref="O134:O170">
    <cfRule type="cellIs" dxfId="542" priority="1101" operator="equal">
      <formula>"DL"</formula>
    </cfRule>
    <cfRule type="cellIs" dxfId="541" priority="1102" operator="equal">
      <formula>"I"</formula>
    </cfRule>
    <cfRule type="cellIs" dxfId="540" priority="1103" operator="equal">
      <formula>"S"</formula>
    </cfRule>
    <cfRule type="cellIs" dxfId="539" priority="1104" operator="equal">
      <formula>"H"</formula>
    </cfRule>
  </conditionalFormatting>
  <conditionalFormatting sqref="V134:V170">
    <cfRule type="cellIs" dxfId="538" priority="1097" operator="equal">
      <formula>"DL"</formula>
    </cfRule>
    <cfRule type="cellIs" dxfId="537" priority="1098" operator="equal">
      <formula>"I"</formula>
    </cfRule>
    <cfRule type="cellIs" dxfId="536" priority="1099" operator="equal">
      <formula>"S"</formula>
    </cfRule>
    <cfRule type="cellIs" dxfId="535" priority="1100" operator="equal">
      <formula>"H"</formula>
    </cfRule>
  </conditionalFormatting>
  <conditionalFormatting sqref="P134:P170">
    <cfRule type="cellIs" dxfId="534" priority="1065" operator="equal">
      <formula>"DL"</formula>
    </cfRule>
    <cfRule type="cellIs" dxfId="533" priority="1066" operator="equal">
      <formula>"I"</formula>
    </cfRule>
    <cfRule type="cellIs" dxfId="532" priority="1067" operator="equal">
      <formula>"S"</formula>
    </cfRule>
    <cfRule type="cellIs" dxfId="531" priority="1068" operator="equal">
      <formula>"H"</formula>
    </cfRule>
  </conditionalFormatting>
  <conditionalFormatting sqref="I172:I183 K172:K183 M172:N183">
    <cfRule type="cellIs" dxfId="530" priority="937" operator="equal">
      <formula>"DL"</formula>
    </cfRule>
    <cfRule type="cellIs" dxfId="529" priority="938" operator="equal">
      <formula>"I"</formula>
    </cfRule>
    <cfRule type="cellIs" dxfId="528" priority="939" operator="equal">
      <formula>"S"</formula>
    </cfRule>
    <cfRule type="cellIs" dxfId="527" priority="940" operator="equal">
      <formula>"H"</formula>
    </cfRule>
  </conditionalFormatting>
  <conditionalFormatting sqref="Q172:Q183">
    <cfRule type="cellIs" dxfId="526" priority="933" operator="equal">
      <formula>"DL"</formula>
    </cfRule>
    <cfRule type="cellIs" dxfId="525" priority="934" operator="equal">
      <formula>"I"</formula>
    </cfRule>
    <cfRule type="cellIs" dxfId="524" priority="935" operator="equal">
      <formula>"S"</formula>
    </cfRule>
    <cfRule type="cellIs" dxfId="523" priority="936" operator="equal">
      <formula>"H"</formula>
    </cfRule>
  </conditionalFormatting>
  <conditionalFormatting sqref="J172:J183">
    <cfRule type="cellIs" dxfId="522" priority="921" operator="equal">
      <formula>"DL"</formula>
    </cfRule>
    <cfRule type="cellIs" dxfId="521" priority="922" operator="equal">
      <formula>"I"</formula>
    </cfRule>
    <cfRule type="cellIs" dxfId="520" priority="923" operator="equal">
      <formula>"S"</formula>
    </cfRule>
    <cfRule type="cellIs" dxfId="519" priority="924" operator="equal">
      <formula>"H"</formula>
    </cfRule>
  </conditionalFormatting>
  <conditionalFormatting sqref="H172:H183">
    <cfRule type="cellIs" dxfId="518" priority="909" operator="equal">
      <formula>"DL"</formula>
    </cfRule>
    <cfRule type="cellIs" dxfId="517" priority="910" operator="equal">
      <formula>"I"</formula>
    </cfRule>
    <cfRule type="cellIs" dxfId="516" priority="911" operator="equal">
      <formula>"S"</formula>
    </cfRule>
    <cfRule type="cellIs" dxfId="515" priority="912" operator="equal">
      <formula>"H"</formula>
    </cfRule>
  </conditionalFormatting>
  <conditionalFormatting sqref="O172:O183">
    <cfRule type="cellIs" dxfId="514" priority="905" operator="equal">
      <formula>"DL"</formula>
    </cfRule>
    <cfRule type="cellIs" dxfId="513" priority="906" operator="equal">
      <formula>"I"</formula>
    </cfRule>
    <cfRule type="cellIs" dxfId="512" priority="907" operator="equal">
      <formula>"S"</formula>
    </cfRule>
    <cfRule type="cellIs" dxfId="511" priority="908" operator="equal">
      <formula>"H"</formula>
    </cfRule>
  </conditionalFormatting>
  <conditionalFormatting sqref="V172:V183">
    <cfRule type="cellIs" dxfId="510" priority="901" operator="equal">
      <formula>"DL"</formula>
    </cfRule>
    <cfRule type="cellIs" dxfId="509" priority="902" operator="equal">
      <formula>"I"</formula>
    </cfRule>
    <cfRule type="cellIs" dxfId="508" priority="903" operator="equal">
      <formula>"S"</formula>
    </cfRule>
    <cfRule type="cellIs" dxfId="507" priority="904" operator="equal">
      <formula>"H"</formula>
    </cfRule>
  </conditionalFormatting>
  <conditionalFormatting sqref="P172:P183">
    <cfRule type="cellIs" dxfId="506" priority="869" operator="equal">
      <formula>"DL"</formula>
    </cfRule>
    <cfRule type="cellIs" dxfId="505" priority="870" operator="equal">
      <formula>"I"</formula>
    </cfRule>
    <cfRule type="cellIs" dxfId="504" priority="871" operator="equal">
      <formula>"S"</formula>
    </cfRule>
    <cfRule type="cellIs" dxfId="503" priority="872" operator="equal">
      <formula>"H"</formula>
    </cfRule>
  </conditionalFormatting>
  <conditionalFormatting sqref="I171 K171 M171:N171">
    <cfRule type="cellIs" dxfId="502" priority="1033" operator="equal">
      <formula>"DL"</formula>
    </cfRule>
    <cfRule type="cellIs" dxfId="501" priority="1034" operator="equal">
      <formula>"I"</formula>
    </cfRule>
    <cfRule type="cellIs" dxfId="500" priority="1035" operator="equal">
      <formula>"S"</formula>
    </cfRule>
    <cfRule type="cellIs" dxfId="499" priority="1036" operator="equal">
      <formula>"H"</formula>
    </cfRule>
  </conditionalFormatting>
  <conditionalFormatting sqref="Q171">
    <cfRule type="cellIs" dxfId="498" priority="1029" operator="equal">
      <formula>"DL"</formula>
    </cfRule>
    <cfRule type="cellIs" dxfId="497" priority="1030" operator="equal">
      <formula>"I"</formula>
    </cfRule>
    <cfRule type="cellIs" dxfId="496" priority="1031" operator="equal">
      <formula>"S"</formula>
    </cfRule>
    <cfRule type="cellIs" dxfId="495" priority="1032" operator="equal">
      <formula>"H"</formula>
    </cfRule>
  </conditionalFormatting>
  <conditionalFormatting sqref="J171">
    <cfRule type="cellIs" dxfId="494" priority="1017" operator="equal">
      <formula>"DL"</formula>
    </cfRule>
    <cfRule type="cellIs" dxfId="493" priority="1018" operator="equal">
      <formula>"I"</formula>
    </cfRule>
    <cfRule type="cellIs" dxfId="492" priority="1019" operator="equal">
      <formula>"S"</formula>
    </cfRule>
    <cfRule type="cellIs" dxfId="491" priority="1020" operator="equal">
      <formula>"H"</formula>
    </cfRule>
  </conditionalFormatting>
  <conditionalFormatting sqref="H171">
    <cfRule type="cellIs" dxfId="490" priority="1005" operator="equal">
      <formula>"DL"</formula>
    </cfRule>
    <cfRule type="cellIs" dxfId="489" priority="1006" operator="equal">
      <formula>"I"</formula>
    </cfRule>
    <cfRule type="cellIs" dxfId="488" priority="1007" operator="equal">
      <formula>"S"</formula>
    </cfRule>
    <cfRule type="cellIs" dxfId="487" priority="1008" operator="equal">
      <formula>"H"</formula>
    </cfRule>
  </conditionalFormatting>
  <conditionalFormatting sqref="O171">
    <cfRule type="cellIs" dxfId="486" priority="1001" operator="equal">
      <formula>"DL"</formula>
    </cfRule>
    <cfRule type="cellIs" dxfId="485" priority="1002" operator="equal">
      <formula>"I"</formula>
    </cfRule>
    <cfRule type="cellIs" dxfId="484" priority="1003" operator="equal">
      <formula>"S"</formula>
    </cfRule>
    <cfRule type="cellIs" dxfId="483" priority="1004" operator="equal">
      <formula>"H"</formula>
    </cfRule>
  </conditionalFormatting>
  <conditionalFormatting sqref="P171">
    <cfRule type="cellIs" dxfId="482" priority="965" operator="equal">
      <formula>"DL"</formula>
    </cfRule>
    <cfRule type="cellIs" dxfId="481" priority="966" operator="equal">
      <formula>"I"</formula>
    </cfRule>
    <cfRule type="cellIs" dxfId="480" priority="967" operator="equal">
      <formula>"S"</formula>
    </cfRule>
    <cfRule type="cellIs" dxfId="479" priority="968" operator="equal">
      <formula>"H"</formula>
    </cfRule>
  </conditionalFormatting>
  <conditionalFormatting sqref="L134:L170">
    <cfRule type="cellIs" dxfId="478" priority="841" operator="equal">
      <formula>"DL"</formula>
    </cfRule>
    <cfRule type="cellIs" dxfId="477" priority="842" operator="equal">
      <formula>"I"</formula>
    </cfRule>
    <cfRule type="cellIs" dxfId="476" priority="843" operator="equal">
      <formula>"S"</formula>
    </cfRule>
    <cfRule type="cellIs" dxfId="475" priority="844" operator="equal">
      <formula>"H"</formula>
    </cfRule>
  </conditionalFormatting>
  <conditionalFormatting sqref="L172:L183">
    <cfRule type="cellIs" dxfId="474" priority="833" operator="equal">
      <formula>"DL"</formula>
    </cfRule>
    <cfRule type="cellIs" dxfId="473" priority="834" operator="equal">
      <formula>"I"</formula>
    </cfRule>
    <cfRule type="cellIs" dxfId="472" priority="835" operator="equal">
      <formula>"S"</formula>
    </cfRule>
    <cfRule type="cellIs" dxfId="471" priority="836" operator="equal">
      <formula>"H"</formula>
    </cfRule>
  </conditionalFormatting>
  <conditionalFormatting sqref="L171">
    <cfRule type="cellIs" dxfId="470" priority="837" operator="equal">
      <formula>"DL"</formula>
    </cfRule>
    <cfRule type="cellIs" dxfId="469" priority="838" operator="equal">
      <formula>"I"</formula>
    </cfRule>
    <cfRule type="cellIs" dxfId="468" priority="839" operator="equal">
      <formula>"S"</formula>
    </cfRule>
    <cfRule type="cellIs" dxfId="467" priority="840" operator="equal">
      <formula>"H"</formula>
    </cfRule>
  </conditionalFormatting>
  <conditionalFormatting sqref="T70:T106">
    <cfRule type="cellIs" dxfId="466" priority="829" operator="equal">
      <formula>"DL"</formula>
    </cfRule>
    <cfRule type="cellIs" dxfId="465" priority="830" operator="equal">
      <formula>"I"</formula>
    </cfRule>
    <cfRule type="cellIs" dxfId="464" priority="831" operator="equal">
      <formula>"S"</formula>
    </cfRule>
    <cfRule type="cellIs" dxfId="463" priority="832" operator="equal">
      <formula>"H"</formula>
    </cfRule>
  </conditionalFormatting>
  <conditionalFormatting sqref="S70:S106">
    <cfRule type="cellIs" dxfId="462" priority="825" operator="equal">
      <formula>"DL"</formula>
    </cfRule>
    <cfRule type="cellIs" dxfId="461" priority="826" operator="equal">
      <formula>"I"</formula>
    </cfRule>
    <cfRule type="cellIs" dxfId="460" priority="827" operator="equal">
      <formula>"S"</formula>
    </cfRule>
    <cfRule type="cellIs" dxfId="459" priority="828" operator="equal">
      <formula>"H"</formula>
    </cfRule>
  </conditionalFormatting>
  <conditionalFormatting sqref="R70:R106">
    <cfRule type="cellIs" dxfId="458" priority="821" operator="equal">
      <formula>"DL"</formula>
    </cfRule>
    <cfRule type="cellIs" dxfId="457" priority="822" operator="equal">
      <formula>"I"</formula>
    </cfRule>
    <cfRule type="cellIs" dxfId="456" priority="823" operator="equal">
      <formula>"S"</formula>
    </cfRule>
    <cfRule type="cellIs" dxfId="455" priority="824" operator="equal">
      <formula>"H"</formula>
    </cfRule>
  </conditionalFormatting>
  <conditionalFormatting sqref="U70:U106">
    <cfRule type="cellIs" dxfId="454" priority="817" operator="equal">
      <formula>"DL"</formula>
    </cfRule>
    <cfRule type="cellIs" dxfId="453" priority="818" operator="equal">
      <formula>"I"</formula>
    </cfRule>
    <cfRule type="cellIs" dxfId="452" priority="819" operator="equal">
      <formula>"S"</formula>
    </cfRule>
    <cfRule type="cellIs" dxfId="451" priority="820" operator="equal">
      <formula>"H"</formula>
    </cfRule>
  </conditionalFormatting>
  <conditionalFormatting sqref="T108:T119">
    <cfRule type="cellIs" dxfId="450" priority="797" operator="equal">
      <formula>"DL"</formula>
    </cfRule>
    <cfRule type="cellIs" dxfId="449" priority="798" operator="equal">
      <formula>"I"</formula>
    </cfRule>
    <cfRule type="cellIs" dxfId="448" priority="799" operator="equal">
      <formula>"S"</formula>
    </cfRule>
    <cfRule type="cellIs" dxfId="447" priority="800" operator="equal">
      <formula>"H"</formula>
    </cfRule>
  </conditionalFormatting>
  <conditionalFormatting sqref="S108:S119">
    <cfRule type="cellIs" dxfId="446" priority="793" operator="equal">
      <formula>"DL"</formula>
    </cfRule>
    <cfRule type="cellIs" dxfId="445" priority="794" operator="equal">
      <formula>"I"</formula>
    </cfRule>
    <cfRule type="cellIs" dxfId="444" priority="795" operator="equal">
      <formula>"S"</formula>
    </cfRule>
    <cfRule type="cellIs" dxfId="443" priority="796" operator="equal">
      <formula>"H"</formula>
    </cfRule>
  </conditionalFormatting>
  <conditionalFormatting sqref="R108:R119">
    <cfRule type="cellIs" dxfId="442" priority="789" operator="equal">
      <formula>"DL"</formula>
    </cfRule>
    <cfRule type="cellIs" dxfId="441" priority="790" operator="equal">
      <formula>"I"</formula>
    </cfRule>
    <cfRule type="cellIs" dxfId="440" priority="791" operator="equal">
      <formula>"S"</formula>
    </cfRule>
    <cfRule type="cellIs" dxfId="439" priority="792" operator="equal">
      <formula>"H"</formula>
    </cfRule>
  </conditionalFormatting>
  <conditionalFormatting sqref="U108:U119">
    <cfRule type="cellIs" dxfId="438" priority="785" operator="equal">
      <formula>"DL"</formula>
    </cfRule>
    <cfRule type="cellIs" dxfId="437" priority="786" operator="equal">
      <formula>"I"</formula>
    </cfRule>
    <cfRule type="cellIs" dxfId="436" priority="787" operator="equal">
      <formula>"S"</formula>
    </cfRule>
    <cfRule type="cellIs" dxfId="435" priority="788" operator="equal">
      <formula>"H"</formula>
    </cfRule>
  </conditionalFormatting>
  <conditionalFormatting sqref="T107">
    <cfRule type="cellIs" dxfId="434" priority="813" operator="equal">
      <formula>"DL"</formula>
    </cfRule>
    <cfRule type="cellIs" dxfId="433" priority="814" operator="equal">
      <formula>"I"</formula>
    </cfRule>
    <cfRule type="cellIs" dxfId="432" priority="815" operator="equal">
      <formula>"S"</formula>
    </cfRule>
    <cfRule type="cellIs" dxfId="431" priority="816" operator="equal">
      <formula>"H"</formula>
    </cfRule>
  </conditionalFormatting>
  <conditionalFormatting sqref="S107">
    <cfRule type="cellIs" dxfId="430" priority="809" operator="equal">
      <formula>"DL"</formula>
    </cfRule>
    <cfRule type="cellIs" dxfId="429" priority="810" operator="equal">
      <formula>"I"</formula>
    </cfRule>
    <cfRule type="cellIs" dxfId="428" priority="811" operator="equal">
      <formula>"S"</formula>
    </cfRule>
    <cfRule type="cellIs" dxfId="427" priority="812" operator="equal">
      <formula>"H"</formula>
    </cfRule>
  </conditionalFormatting>
  <conditionalFormatting sqref="R107">
    <cfRule type="cellIs" dxfId="426" priority="805" operator="equal">
      <formula>"DL"</formula>
    </cfRule>
    <cfRule type="cellIs" dxfId="425" priority="806" operator="equal">
      <formula>"I"</formula>
    </cfRule>
    <cfRule type="cellIs" dxfId="424" priority="807" operator="equal">
      <formula>"S"</formula>
    </cfRule>
    <cfRule type="cellIs" dxfId="423" priority="808" operator="equal">
      <formula>"H"</formula>
    </cfRule>
  </conditionalFormatting>
  <conditionalFormatting sqref="U107">
    <cfRule type="cellIs" dxfId="422" priority="801" operator="equal">
      <formula>"DL"</formula>
    </cfRule>
    <cfRule type="cellIs" dxfId="421" priority="802" operator="equal">
      <formula>"I"</formula>
    </cfRule>
    <cfRule type="cellIs" dxfId="420" priority="803" operator="equal">
      <formula>"S"</formula>
    </cfRule>
    <cfRule type="cellIs" dxfId="419" priority="804" operator="equal">
      <formula>"H"</formula>
    </cfRule>
  </conditionalFormatting>
  <conditionalFormatting sqref="T134:T170">
    <cfRule type="cellIs" dxfId="418" priority="781" operator="equal">
      <formula>"DL"</formula>
    </cfRule>
    <cfRule type="cellIs" dxfId="417" priority="782" operator="equal">
      <formula>"I"</formula>
    </cfRule>
    <cfRule type="cellIs" dxfId="416" priority="783" operator="equal">
      <formula>"S"</formula>
    </cfRule>
    <cfRule type="cellIs" dxfId="415" priority="784" operator="equal">
      <formula>"H"</formula>
    </cfRule>
  </conditionalFormatting>
  <conditionalFormatting sqref="S134:S170">
    <cfRule type="cellIs" dxfId="414" priority="777" operator="equal">
      <formula>"DL"</formula>
    </cfRule>
    <cfRule type="cellIs" dxfId="413" priority="778" operator="equal">
      <formula>"I"</formula>
    </cfRule>
    <cfRule type="cellIs" dxfId="412" priority="779" operator="equal">
      <formula>"S"</formula>
    </cfRule>
    <cfRule type="cellIs" dxfId="411" priority="780" operator="equal">
      <formula>"H"</formula>
    </cfRule>
  </conditionalFormatting>
  <conditionalFormatting sqref="R134:R170">
    <cfRule type="cellIs" dxfId="410" priority="773" operator="equal">
      <formula>"DL"</formula>
    </cfRule>
    <cfRule type="cellIs" dxfId="409" priority="774" operator="equal">
      <formula>"I"</formula>
    </cfRule>
    <cfRule type="cellIs" dxfId="408" priority="775" operator="equal">
      <formula>"S"</formula>
    </cfRule>
    <cfRule type="cellIs" dxfId="407" priority="776" operator="equal">
      <formula>"H"</formula>
    </cfRule>
  </conditionalFormatting>
  <conditionalFormatting sqref="U134:U170">
    <cfRule type="cellIs" dxfId="406" priority="769" operator="equal">
      <formula>"DL"</formula>
    </cfRule>
    <cfRule type="cellIs" dxfId="405" priority="770" operator="equal">
      <formula>"I"</formula>
    </cfRule>
    <cfRule type="cellIs" dxfId="404" priority="771" operator="equal">
      <formula>"S"</formula>
    </cfRule>
    <cfRule type="cellIs" dxfId="403" priority="772" operator="equal">
      <formula>"H"</formula>
    </cfRule>
  </conditionalFormatting>
  <conditionalFormatting sqref="T172:T183">
    <cfRule type="cellIs" dxfId="402" priority="749" operator="equal">
      <formula>"DL"</formula>
    </cfRule>
    <cfRule type="cellIs" dxfId="401" priority="750" operator="equal">
      <formula>"I"</formula>
    </cfRule>
    <cfRule type="cellIs" dxfId="400" priority="751" operator="equal">
      <formula>"S"</formula>
    </cfRule>
    <cfRule type="cellIs" dxfId="399" priority="752" operator="equal">
      <formula>"H"</formula>
    </cfRule>
  </conditionalFormatting>
  <conditionalFormatting sqref="S172:S183">
    <cfRule type="cellIs" dxfId="398" priority="745" operator="equal">
      <formula>"DL"</formula>
    </cfRule>
    <cfRule type="cellIs" dxfId="397" priority="746" operator="equal">
      <formula>"I"</formula>
    </cfRule>
    <cfRule type="cellIs" dxfId="396" priority="747" operator="equal">
      <formula>"S"</formula>
    </cfRule>
    <cfRule type="cellIs" dxfId="395" priority="748" operator="equal">
      <formula>"H"</formula>
    </cfRule>
  </conditionalFormatting>
  <conditionalFormatting sqref="R172:R183">
    <cfRule type="cellIs" dxfId="394" priority="741" operator="equal">
      <formula>"DL"</formula>
    </cfRule>
    <cfRule type="cellIs" dxfId="393" priority="742" operator="equal">
      <formula>"I"</formula>
    </cfRule>
    <cfRule type="cellIs" dxfId="392" priority="743" operator="equal">
      <formula>"S"</formula>
    </cfRule>
    <cfRule type="cellIs" dxfId="391" priority="744" operator="equal">
      <formula>"H"</formula>
    </cfRule>
  </conditionalFormatting>
  <conditionalFormatting sqref="U172:U183">
    <cfRule type="cellIs" dxfId="390" priority="737" operator="equal">
      <formula>"DL"</formula>
    </cfRule>
    <cfRule type="cellIs" dxfId="389" priority="738" operator="equal">
      <formula>"I"</formula>
    </cfRule>
    <cfRule type="cellIs" dxfId="388" priority="739" operator="equal">
      <formula>"S"</formula>
    </cfRule>
    <cfRule type="cellIs" dxfId="387" priority="740" operator="equal">
      <formula>"H"</formula>
    </cfRule>
  </conditionalFormatting>
  <conditionalFormatting sqref="T171">
    <cfRule type="cellIs" dxfId="386" priority="765" operator="equal">
      <formula>"DL"</formula>
    </cfRule>
    <cfRule type="cellIs" dxfId="385" priority="766" operator="equal">
      <formula>"I"</formula>
    </cfRule>
    <cfRule type="cellIs" dxfId="384" priority="767" operator="equal">
      <formula>"S"</formula>
    </cfRule>
    <cfRule type="cellIs" dxfId="383" priority="768" operator="equal">
      <formula>"H"</formula>
    </cfRule>
  </conditionalFormatting>
  <conditionalFormatting sqref="S171">
    <cfRule type="cellIs" dxfId="382" priority="761" operator="equal">
      <formula>"DL"</formula>
    </cfRule>
    <cfRule type="cellIs" dxfId="381" priority="762" operator="equal">
      <formula>"I"</formula>
    </cfRule>
    <cfRule type="cellIs" dxfId="380" priority="763" operator="equal">
      <formula>"S"</formula>
    </cfRule>
    <cfRule type="cellIs" dxfId="379" priority="764" operator="equal">
      <formula>"H"</formula>
    </cfRule>
  </conditionalFormatting>
  <conditionalFormatting sqref="R171">
    <cfRule type="cellIs" dxfId="378" priority="757" operator="equal">
      <formula>"DL"</formula>
    </cfRule>
    <cfRule type="cellIs" dxfId="377" priority="758" operator="equal">
      <formula>"I"</formula>
    </cfRule>
    <cfRule type="cellIs" dxfId="376" priority="759" operator="equal">
      <formula>"S"</formula>
    </cfRule>
    <cfRule type="cellIs" dxfId="375" priority="760" operator="equal">
      <formula>"H"</formula>
    </cfRule>
  </conditionalFormatting>
  <conditionalFormatting sqref="U171">
    <cfRule type="cellIs" dxfId="374" priority="753" operator="equal">
      <formula>"DL"</formula>
    </cfRule>
    <cfRule type="cellIs" dxfId="373" priority="754" operator="equal">
      <formula>"I"</formula>
    </cfRule>
    <cfRule type="cellIs" dxfId="372" priority="755" operator="equal">
      <formula>"S"</formula>
    </cfRule>
    <cfRule type="cellIs" dxfId="371" priority="756" operator="equal">
      <formula>"H"</formula>
    </cfRule>
  </conditionalFormatting>
  <conditionalFormatting sqref="V107">
    <cfRule type="cellIs" dxfId="370" priority="713" operator="equal">
      <formula>"DL"</formula>
    </cfRule>
    <cfRule type="cellIs" dxfId="369" priority="714" operator="equal">
      <formula>"I"</formula>
    </cfRule>
    <cfRule type="cellIs" dxfId="368" priority="715" operator="equal">
      <formula>"S"</formula>
    </cfRule>
    <cfRule type="cellIs" dxfId="367" priority="716" operator="equal">
      <formula>"H"</formula>
    </cfRule>
  </conditionalFormatting>
  <conditionalFormatting sqref="V70:V106">
    <cfRule type="cellIs" dxfId="366" priority="729" operator="equal">
      <formula>"DL"</formula>
    </cfRule>
    <cfRule type="cellIs" dxfId="365" priority="730" operator="equal">
      <formula>"I"</formula>
    </cfRule>
    <cfRule type="cellIs" dxfId="364" priority="731" operator="equal">
      <formula>"S"</formula>
    </cfRule>
    <cfRule type="cellIs" dxfId="363" priority="732" operator="equal">
      <formula>"H"</formula>
    </cfRule>
  </conditionalFormatting>
  <conditionalFormatting sqref="V108:V119">
    <cfRule type="cellIs" dxfId="362" priority="697" operator="equal">
      <formula>"DL"</formula>
    </cfRule>
    <cfRule type="cellIs" dxfId="361" priority="698" operator="equal">
      <formula>"I"</formula>
    </cfRule>
    <cfRule type="cellIs" dxfId="360" priority="699" operator="equal">
      <formula>"S"</formula>
    </cfRule>
    <cfRule type="cellIs" dxfId="359" priority="700" operator="equal">
      <formula>"H"</formula>
    </cfRule>
  </conditionalFormatting>
  <conditionalFormatting sqref="Z70:Z106">
    <cfRule type="cellIs" dxfId="358" priority="685" operator="equal">
      <formula>"DL"</formula>
    </cfRule>
    <cfRule type="cellIs" dxfId="357" priority="686" operator="equal">
      <formula>"I"</formula>
    </cfRule>
    <cfRule type="cellIs" dxfId="356" priority="687" operator="equal">
      <formula>"S"</formula>
    </cfRule>
    <cfRule type="cellIs" dxfId="355" priority="688" operator="equal">
      <formula>"H"</formula>
    </cfRule>
  </conditionalFormatting>
  <conditionalFormatting sqref="X70:X106">
    <cfRule type="cellIs" dxfId="354" priority="681" operator="equal">
      <formula>"DL"</formula>
    </cfRule>
    <cfRule type="cellIs" dxfId="353" priority="682" operator="equal">
      <formula>"I"</formula>
    </cfRule>
    <cfRule type="cellIs" dxfId="352" priority="683" operator="equal">
      <formula>"S"</formula>
    </cfRule>
    <cfRule type="cellIs" dxfId="351" priority="684" operator="equal">
      <formula>"H"</formula>
    </cfRule>
  </conditionalFormatting>
  <conditionalFormatting sqref="Y107">
    <cfRule type="cellIs" dxfId="350" priority="657" operator="equal">
      <formula>"DL"</formula>
    </cfRule>
    <cfRule type="cellIs" dxfId="349" priority="658" operator="equal">
      <formula>"I"</formula>
    </cfRule>
    <cfRule type="cellIs" dxfId="348" priority="659" operator="equal">
      <formula>"S"</formula>
    </cfRule>
    <cfRule type="cellIs" dxfId="347" priority="660" operator="equal">
      <formula>"H"</formula>
    </cfRule>
  </conditionalFormatting>
  <conditionalFormatting sqref="W107">
    <cfRule type="cellIs" dxfId="346" priority="649" operator="equal">
      <formula>"DL"</formula>
    </cfRule>
    <cfRule type="cellIs" dxfId="345" priority="650" operator="equal">
      <formula>"I"</formula>
    </cfRule>
    <cfRule type="cellIs" dxfId="344" priority="651" operator="equal">
      <formula>"S"</formula>
    </cfRule>
    <cfRule type="cellIs" dxfId="343" priority="652" operator="equal">
      <formula>"H"</formula>
    </cfRule>
  </conditionalFormatting>
  <conditionalFormatting sqref="Y70:Y106">
    <cfRule type="cellIs" dxfId="342" priority="677" operator="equal">
      <formula>"DL"</formula>
    </cfRule>
    <cfRule type="cellIs" dxfId="341" priority="678" operator="equal">
      <formula>"I"</formula>
    </cfRule>
    <cfRule type="cellIs" dxfId="340" priority="679" operator="equal">
      <formula>"S"</formula>
    </cfRule>
    <cfRule type="cellIs" dxfId="339" priority="680" operator="equal">
      <formula>"H"</formula>
    </cfRule>
  </conditionalFormatting>
  <conditionalFormatting sqref="AA70:AA106">
    <cfRule type="cellIs" dxfId="338" priority="673" operator="equal">
      <formula>"DL"</formula>
    </cfRule>
    <cfRule type="cellIs" dxfId="337" priority="674" operator="equal">
      <formula>"I"</formula>
    </cfRule>
    <cfRule type="cellIs" dxfId="336" priority="675" operator="equal">
      <formula>"S"</formula>
    </cfRule>
    <cfRule type="cellIs" dxfId="335" priority="676" operator="equal">
      <formula>"H"</formula>
    </cfRule>
  </conditionalFormatting>
  <conditionalFormatting sqref="W70:W106">
    <cfRule type="cellIs" dxfId="334" priority="669" operator="equal">
      <formula>"DL"</formula>
    </cfRule>
    <cfRule type="cellIs" dxfId="333" priority="670" operator="equal">
      <formula>"I"</formula>
    </cfRule>
    <cfRule type="cellIs" dxfId="332" priority="671" operator="equal">
      <formula>"S"</formula>
    </cfRule>
    <cfRule type="cellIs" dxfId="331" priority="672" operator="equal">
      <formula>"H"</formula>
    </cfRule>
  </conditionalFormatting>
  <conditionalFormatting sqref="Z108:Z119">
    <cfRule type="cellIs" dxfId="330" priority="645" operator="equal">
      <formula>"DL"</formula>
    </cfRule>
    <cfRule type="cellIs" dxfId="329" priority="646" operator="equal">
      <formula>"I"</formula>
    </cfRule>
    <cfRule type="cellIs" dxfId="328" priority="647" operator="equal">
      <formula>"S"</formula>
    </cfRule>
    <cfRule type="cellIs" dxfId="327" priority="648" operator="equal">
      <formula>"H"</formula>
    </cfRule>
  </conditionalFormatting>
  <conditionalFormatting sqref="X108:X119">
    <cfRule type="cellIs" dxfId="326" priority="641" operator="equal">
      <formula>"DL"</formula>
    </cfRule>
    <cfRule type="cellIs" dxfId="325" priority="642" operator="equal">
      <formula>"I"</formula>
    </cfRule>
    <cfRule type="cellIs" dxfId="324" priority="643" operator="equal">
      <formula>"S"</formula>
    </cfRule>
    <cfRule type="cellIs" dxfId="323" priority="644" operator="equal">
      <formula>"H"</formula>
    </cfRule>
  </conditionalFormatting>
  <conditionalFormatting sqref="Y108:Y119">
    <cfRule type="cellIs" dxfId="322" priority="637" operator="equal">
      <formula>"DL"</formula>
    </cfRule>
    <cfRule type="cellIs" dxfId="321" priority="638" operator="equal">
      <formula>"I"</formula>
    </cfRule>
    <cfRule type="cellIs" dxfId="320" priority="639" operator="equal">
      <formula>"S"</formula>
    </cfRule>
    <cfRule type="cellIs" dxfId="319" priority="640" operator="equal">
      <formula>"H"</formula>
    </cfRule>
  </conditionalFormatting>
  <conditionalFormatting sqref="AA108:AA119">
    <cfRule type="cellIs" dxfId="318" priority="633" operator="equal">
      <formula>"DL"</formula>
    </cfRule>
    <cfRule type="cellIs" dxfId="317" priority="634" operator="equal">
      <formula>"I"</formula>
    </cfRule>
    <cfRule type="cellIs" dxfId="316" priority="635" operator="equal">
      <formula>"S"</formula>
    </cfRule>
    <cfRule type="cellIs" dxfId="315" priority="636" operator="equal">
      <formula>"H"</formula>
    </cfRule>
  </conditionalFormatting>
  <conditionalFormatting sqref="W108:W119">
    <cfRule type="cellIs" dxfId="314" priority="629" operator="equal">
      <formula>"DL"</formula>
    </cfRule>
    <cfRule type="cellIs" dxfId="313" priority="630" operator="equal">
      <formula>"I"</formula>
    </cfRule>
    <cfRule type="cellIs" dxfId="312" priority="631" operator="equal">
      <formula>"S"</formula>
    </cfRule>
    <cfRule type="cellIs" dxfId="311" priority="632" operator="equal">
      <formula>"H"</formula>
    </cfRule>
  </conditionalFormatting>
  <conditionalFormatting sqref="Z107">
    <cfRule type="cellIs" dxfId="310" priority="665" operator="equal">
      <formula>"DL"</formula>
    </cfRule>
    <cfRule type="cellIs" dxfId="309" priority="666" operator="equal">
      <formula>"I"</formula>
    </cfRule>
    <cfRule type="cellIs" dxfId="308" priority="667" operator="equal">
      <formula>"S"</formula>
    </cfRule>
    <cfRule type="cellIs" dxfId="307" priority="668" operator="equal">
      <formula>"H"</formula>
    </cfRule>
  </conditionalFormatting>
  <conditionalFormatting sqref="X107">
    <cfRule type="cellIs" dxfId="306" priority="661" operator="equal">
      <formula>"DL"</formula>
    </cfRule>
    <cfRule type="cellIs" dxfId="305" priority="662" operator="equal">
      <formula>"I"</formula>
    </cfRule>
    <cfRule type="cellIs" dxfId="304" priority="663" operator="equal">
      <formula>"S"</formula>
    </cfRule>
    <cfRule type="cellIs" dxfId="303" priority="664" operator="equal">
      <formula>"H"</formula>
    </cfRule>
  </conditionalFormatting>
  <conditionalFormatting sqref="AA107">
    <cfRule type="cellIs" dxfId="302" priority="653" operator="equal">
      <formula>"DL"</formula>
    </cfRule>
    <cfRule type="cellIs" dxfId="301" priority="654" operator="equal">
      <formula>"I"</formula>
    </cfRule>
    <cfRule type="cellIs" dxfId="300" priority="655" operator="equal">
      <formula>"S"</formula>
    </cfRule>
    <cfRule type="cellIs" dxfId="299" priority="656" operator="equal">
      <formula>"H"</formula>
    </cfRule>
  </conditionalFormatting>
  <conditionalFormatting sqref="Z134:Z170">
    <cfRule type="cellIs" dxfId="298" priority="625" operator="equal">
      <formula>"DL"</formula>
    </cfRule>
    <cfRule type="cellIs" dxfId="297" priority="626" operator="equal">
      <formula>"I"</formula>
    </cfRule>
    <cfRule type="cellIs" dxfId="296" priority="627" operator="equal">
      <formula>"S"</formula>
    </cfRule>
    <cfRule type="cellIs" dxfId="295" priority="628" operator="equal">
      <formula>"H"</formula>
    </cfRule>
  </conditionalFormatting>
  <conditionalFormatting sqref="X134:X170">
    <cfRule type="cellIs" dxfId="294" priority="621" operator="equal">
      <formula>"DL"</formula>
    </cfRule>
    <cfRule type="cellIs" dxfId="293" priority="622" operator="equal">
      <formula>"I"</formula>
    </cfRule>
    <cfRule type="cellIs" dxfId="292" priority="623" operator="equal">
      <formula>"S"</formula>
    </cfRule>
    <cfRule type="cellIs" dxfId="291" priority="624" operator="equal">
      <formula>"H"</formula>
    </cfRule>
  </conditionalFormatting>
  <conditionalFormatting sqref="Y171">
    <cfRule type="cellIs" dxfId="290" priority="597" operator="equal">
      <formula>"DL"</formula>
    </cfRule>
    <cfRule type="cellIs" dxfId="289" priority="598" operator="equal">
      <formula>"I"</formula>
    </cfRule>
    <cfRule type="cellIs" dxfId="288" priority="599" operator="equal">
      <formula>"S"</formula>
    </cfRule>
    <cfRule type="cellIs" dxfId="287" priority="600" operator="equal">
      <formula>"H"</formula>
    </cfRule>
  </conditionalFormatting>
  <conditionalFormatting sqref="W171">
    <cfRule type="cellIs" dxfId="286" priority="589" operator="equal">
      <formula>"DL"</formula>
    </cfRule>
    <cfRule type="cellIs" dxfId="285" priority="590" operator="equal">
      <formula>"I"</formula>
    </cfRule>
    <cfRule type="cellIs" dxfId="284" priority="591" operator="equal">
      <formula>"S"</formula>
    </cfRule>
    <cfRule type="cellIs" dxfId="283" priority="592" operator="equal">
      <formula>"H"</formula>
    </cfRule>
  </conditionalFormatting>
  <conditionalFormatting sqref="Y134:Y170">
    <cfRule type="cellIs" dxfId="282" priority="617" operator="equal">
      <formula>"DL"</formula>
    </cfRule>
    <cfRule type="cellIs" dxfId="281" priority="618" operator="equal">
      <formula>"I"</formula>
    </cfRule>
    <cfRule type="cellIs" dxfId="280" priority="619" operator="equal">
      <formula>"S"</formula>
    </cfRule>
    <cfRule type="cellIs" dxfId="279" priority="620" operator="equal">
      <formula>"H"</formula>
    </cfRule>
  </conditionalFormatting>
  <conditionalFormatting sqref="AA134:AA170">
    <cfRule type="cellIs" dxfId="278" priority="613" operator="equal">
      <formula>"DL"</formula>
    </cfRule>
    <cfRule type="cellIs" dxfId="277" priority="614" operator="equal">
      <formula>"I"</formula>
    </cfRule>
    <cfRule type="cellIs" dxfId="276" priority="615" operator="equal">
      <formula>"S"</formula>
    </cfRule>
    <cfRule type="cellIs" dxfId="275" priority="616" operator="equal">
      <formula>"H"</formula>
    </cfRule>
  </conditionalFormatting>
  <conditionalFormatting sqref="W134:W170">
    <cfRule type="cellIs" dxfId="274" priority="609" operator="equal">
      <formula>"DL"</formula>
    </cfRule>
    <cfRule type="cellIs" dxfId="273" priority="610" operator="equal">
      <formula>"I"</formula>
    </cfRule>
    <cfRule type="cellIs" dxfId="272" priority="611" operator="equal">
      <formula>"S"</formula>
    </cfRule>
    <cfRule type="cellIs" dxfId="271" priority="612" operator="equal">
      <formula>"H"</formula>
    </cfRule>
  </conditionalFormatting>
  <conditionalFormatting sqref="Z172:Z183">
    <cfRule type="cellIs" dxfId="270" priority="585" operator="equal">
      <formula>"DL"</formula>
    </cfRule>
    <cfRule type="cellIs" dxfId="269" priority="586" operator="equal">
      <formula>"I"</formula>
    </cfRule>
    <cfRule type="cellIs" dxfId="268" priority="587" operator="equal">
      <formula>"S"</formula>
    </cfRule>
    <cfRule type="cellIs" dxfId="267" priority="588" operator="equal">
      <formula>"H"</formula>
    </cfRule>
  </conditionalFormatting>
  <conditionalFormatting sqref="X172:X183">
    <cfRule type="cellIs" dxfId="266" priority="581" operator="equal">
      <formula>"DL"</formula>
    </cfRule>
    <cfRule type="cellIs" dxfId="265" priority="582" operator="equal">
      <formula>"I"</formula>
    </cfRule>
    <cfRule type="cellIs" dxfId="264" priority="583" operator="equal">
      <formula>"S"</formula>
    </cfRule>
    <cfRule type="cellIs" dxfId="263" priority="584" operator="equal">
      <formula>"H"</formula>
    </cfRule>
  </conditionalFormatting>
  <conditionalFormatting sqref="Y172:Y183">
    <cfRule type="cellIs" dxfId="262" priority="577" operator="equal">
      <formula>"DL"</formula>
    </cfRule>
    <cfRule type="cellIs" dxfId="261" priority="578" operator="equal">
      <formula>"I"</formula>
    </cfRule>
    <cfRule type="cellIs" dxfId="260" priority="579" operator="equal">
      <formula>"S"</formula>
    </cfRule>
    <cfRule type="cellIs" dxfId="259" priority="580" operator="equal">
      <formula>"H"</formula>
    </cfRule>
  </conditionalFormatting>
  <conditionalFormatting sqref="AA172:AA183">
    <cfRule type="cellIs" dxfId="258" priority="573" operator="equal">
      <formula>"DL"</formula>
    </cfRule>
    <cfRule type="cellIs" dxfId="257" priority="574" operator="equal">
      <formula>"I"</formula>
    </cfRule>
    <cfRule type="cellIs" dxfId="256" priority="575" operator="equal">
      <formula>"S"</formula>
    </cfRule>
    <cfRule type="cellIs" dxfId="255" priority="576" operator="equal">
      <formula>"H"</formula>
    </cfRule>
  </conditionalFormatting>
  <conditionalFormatting sqref="W172:W183">
    <cfRule type="cellIs" dxfId="254" priority="569" operator="equal">
      <formula>"DL"</formula>
    </cfRule>
    <cfRule type="cellIs" dxfId="253" priority="570" operator="equal">
      <formula>"I"</formula>
    </cfRule>
    <cfRule type="cellIs" dxfId="252" priority="571" operator="equal">
      <formula>"S"</formula>
    </cfRule>
    <cfRule type="cellIs" dxfId="251" priority="572" operator="equal">
      <formula>"H"</formula>
    </cfRule>
  </conditionalFormatting>
  <conditionalFormatting sqref="Z171">
    <cfRule type="cellIs" dxfId="250" priority="605" operator="equal">
      <formula>"DL"</formula>
    </cfRule>
    <cfRule type="cellIs" dxfId="249" priority="606" operator="equal">
      <formula>"I"</formula>
    </cfRule>
    <cfRule type="cellIs" dxfId="248" priority="607" operator="equal">
      <formula>"S"</formula>
    </cfRule>
    <cfRule type="cellIs" dxfId="247" priority="608" operator="equal">
      <formula>"H"</formula>
    </cfRule>
  </conditionalFormatting>
  <conditionalFormatting sqref="X171">
    <cfRule type="cellIs" dxfId="246" priority="601" operator="equal">
      <formula>"DL"</formula>
    </cfRule>
    <cfRule type="cellIs" dxfId="245" priority="602" operator="equal">
      <formula>"I"</formula>
    </cfRule>
    <cfRule type="cellIs" dxfId="244" priority="603" operator="equal">
      <formula>"S"</formula>
    </cfRule>
    <cfRule type="cellIs" dxfId="243" priority="604" operator="equal">
      <formula>"H"</formula>
    </cfRule>
  </conditionalFormatting>
  <conditionalFormatting sqref="AA171">
    <cfRule type="cellIs" dxfId="242" priority="593" operator="equal">
      <formula>"DL"</formula>
    </cfRule>
    <cfRule type="cellIs" dxfId="241" priority="594" operator="equal">
      <formula>"I"</formula>
    </cfRule>
    <cfRule type="cellIs" dxfId="240" priority="595" operator="equal">
      <formula>"S"</formula>
    </cfRule>
    <cfRule type="cellIs" dxfId="239" priority="596" operator="equal">
      <formula>"H"</formula>
    </cfRule>
  </conditionalFormatting>
  <conditionalFormatting sqref="AB70:AB106">
    <cfRule type="cellIs" dxfId="238" priority="565" operator="equal">
      <formula>"DL"</formula>
    </cfRule>
    <cfRule type="cellIs" dxfId="237" priority="566" operator="equal">
      <formula>"I"</formula>
    </cfRule>
    <cfRule type="cellIs" dxfId="236" priority="567" operator="equal">
      <formula>"S"</formula>
    </cfRule>
    <cfRule type="cellIs" dxfId="235" priority="568" operator="equal">
      <formula>"H"</formula>
    </cfRule>
  </conditionalFormatting>
  <conditionalFormatting sqref="AB108:AB119">
    <cfRule type="cellIs" dxfId="234" priority="549" operator="equal">
      <formula>"DL"</formula>
    </cfRule>
    <cfRule type="cellIs" dxfId="233" priority="550" operator="equal">
      <formula>"I"</formula>
    </cfRule>
    <cfRule type="cellIs" dxfId="232" priority="551" operator="equal">
      <formula>"S"</formula>
    </cfRule>
    <cfRule type="cellIs" dxfId="231" priority="552" operator="equal">
      <formula>"H"</formula>
    </cfRule>
  </conditionalFormatting>
  <conditionalFormatting sqref="AB107">
    <cfRule type="cellIs" dxfId="230" priority="557" operator="equal">
      <formula>"DL"</formula>
    </cfRule>
    <cfRule type="cellIs" dxfId="229" priority="558" operator="equal">
      <formula>"I"</formula>
    </cfRule>
    <cfRule type="cellIs" dxfId="228" priority="559" operator="equal">
      <formula>"S"</formula>
    </cfRule>
    <cfRule type="cellIs" dxfId="227" priority="560" operator="equal">
      <formula>"H"</formula>
    </cfRule>
  </conditionalFormatting>
  <conditionalFormatting sqref="AB134:AB170">
    <cfRule type="cellIs" dxfId="226" priority="541" operator="equal">
      <formula>"DL"</formula>
    </cfRule>
    <cfRule type="cellIs" dxfId="225" priority="542" operator="equal">
      <formula>"I"</formula>
    </cfRule>
    <cfRule type="cellIs" dxfId="224" priority="543" operator="equal">
      <formula>"S"</formula>
    </cfRule>
    <cfRule type="cellIs" dxfId="223" priority="544" operator="equal">
      <formula>"H"</formula>
    </cfRule>
  </conditionalFormatting>
  <conditionalFormatting sqref="AB172:AB183">
    <cfRule type="cellIs" dxfId="222" priority="525" operator="equal">
      <formula>"DL"</formula>
    </cfRule>
    <cfRule type="cellIs" dxfId="221" priority="526" operator="equal">
      <formula>"I"</formula>
    </cfRule>
    <cfRule type="cellIs" dxfId="220" priority="527" operator="equal">
      <formula>"S"</formula>
    </cfRule>
    <cfRule type="cellIs" dxfId="219" priority="528" operator="equal">
      <formula>"H"</formula>
    </cfRule>
  </conditionalFormatting>
  <conditionalFormatting sqref="AB171">
    <cfRule type="cellIs" dxfId="218" priority="533" operator="equal">
      <formula>"DL"</formula>
    </cfRule>
    <cfRule type="cellIs" dxfId="217" priority="534" operator="equal">
      <formula>"I"</formula>
    </cfRule>
    <cfRule type="cellIs" dxfId="216" priority="535" operator="equal">
      <formula>"S"</formula>
    </cfRule>
    <cfRule type="cellIs" dxfId="215" priority="536" operator="equal">
      <formula>"H"</formula>
    </cfRule>
  </conditionalFormatting>
  <conditionalFormatting sqref="AD107">
    <cfRule type="cellIs" dxfId="214" priority="493" operator="equal">
      <formula>"DL"</formula>
    </cfRule>
    <cfRule type="cellIs" dxfId="213" priority="494" operator="equal">
      <formula>"I"</formula>
    </cfRule>
    <cfRule type="cellIs" dxfId="212" priority="495" operator="equal">
      <formula>"S"</formula>
    </cfRule>
    <cfRule type="cellIs" dxfId="211" priority="496" operator="equal">
      <formula>"H"</formula>
    </cfRule>
  </conditionalFormatting>
  <conditionalFormatting sqref="AC70:AC106">
    <cfRule type="cellIs" dxfId="210" priority="513" operator="equal">
      <formula>"DL"</formula>
    </cfRule>
    <cfRule type="cellIs" dxfId="209" priority="514" operator="equal">
      <formula>"I"</formula>
    </cfRule>
    <cfRule type="cellIs" dxfId="208" priority="515" operator="equal">
      <formula>"S"</formula>
    </cfRule>
    <cfRule type="cellIs" dxfId="207" priority="516" operator="equal">
      <formula>"H"</formula>
    </cfRule>
  </conditionalFormatting>
  <conditionalFormatting sqref="AD70:AD106">
    <cfRule type="cellIs" dxfId="206" priority="509" operator="equal">
      <formula>"DL"</formula>
    </cfRule>
    <cfRule type="cellIs" dxfId="205" priority="510" operator="equal">
      <formula>"I"</formula>
    </cfRule>
    <cfRule type="cellIs" dxfId="204" priority="511" operator="equal">
      <formula>"S"</formula>
    </cfRule>
    <cfRule type="cellIs" dxfId="203" priority="512" operator="equal">
      <formula>"H"</formula>
    </cfRule>
  </conditionalFormatting>
  <conditionalFormatting sqref="AC108:AC119">
    <cfRule type="cellIs" dxfId="202" priority="481" operator="equal">
      <formula>"DL"</formula>
    </cfRule>
    <cfRule type="cellIs" dxfId="201" priority="482" operator="equal">
      <formula>"I"</formula>
    </cfRule>
    <cfRule type="cellIs" dxfId="200" priority="483" operator="equal">
      <formula>"S"</formula>
    </cfRule>
    <cfRule type="cellIs" dxfId="199" priority="484" operator="equal">
      <formula>"H"</formula>
    </cfRule>
  </conditionalFormatting>
  <conditionalFormatting sqref="AD108:AD119">
    <cfRule type="cellIs" dxfId="198" priority="477" operator="equal">
      <formula>"DL"</formula>
    </cfRule>
    <cfRule type="cellIs" dxfId="197" priority="478" operator="equal">
      <formula>"I"</formula>
    </cfRule>
    <cfRule type="cellIs" dxfId="196" priority="479" operator="equal">
      <formula>"S"</formula>
    </cfRule>
    <cfRule type="cellIs" dxfId="195" priority="480" operator="equal">
      <formula>"H"</formula>
    </cfRule>
  </conditionalFormatting>
  <conditionalFormatting sqref="AC107">
    <cfRule type="cellIs" dxfId="194" priority="497" operator="equal">
      <formula>"DL"</formula>
    </cfRule>
    <cfRule type="cellIs" dxfId="193" priority="498" operator="equal">
      <formula>"I"</formula>
    </cfRule>
    <cfRule type="cellIs" dxfId="192" priority="499" operator="equal">
      <formula>"S"</formula>
    </cfRule>
    <cfRule type="cellIs" dxfId="191" priority="500" operator="equal">
      <formula>"H"</formula>
    </cfRule>
  </conditionalFormatting>
  <conditionalFormatting sqref="AD171">
    <cfRule type="cellIs" dxfId="190" priority="445" operator="equal">
      <formula>"DL"</formula>
    </cfRule>
    <cfRule type="cellIs" dxfId="189" priority="446" operator="equal">
      <formula>"I"</formula>
    </cfRule>
    <cfRule type="cellIs" dxfId="188" priority="447" operator="equal">
      <formula>"S"</formula>
    </cfRule>
    <cfRule type="cellIs" dxfId="187" priority="448" operator="equal">
      <formula>"H"</formula>
    </cfRule>
  </conditionalFormatting>
  <conditionalFormatting sqref="AC134:AC170">
    <cfRule type="cellIs" dxfId="186" priority="465" operator="equal">
      <formula>"DL"</formula>
    </cfRule>
    <cfRule type="cellIs" dxfId="185" priority="466" operator="equal">
      <formula>"I"</formula>
    </cfRule>
    <cfRule type="cellIs" dxfId="184" priority="467" operator="equal">
      <formula>"S"</formula>
    </cfRule>
    <cfRule type="cellIs" dxfId="183" priority="468" operator="equal">
      <formula>"H"</formula>
    </cfRule>
  </conditionalFormatting>
  <conditionalFormatting sqref="AD134:AD170">
    <cfRule type="cellIs" dxfId="182" priority="461" operator="equal">
      <formula>"DL"</formula>
    </cfRule>
    <cfRule type="cellIs" dxfId="181" priority="462" operator="equal">
      <formula>"I"</formula>
    </cfRule>
    <cfRule type="cellIs" dxfId="180" priority="463" operator="equal">
      <formula>"S"</formula>
    </cfRule>
    <cfRule type="cellIs" dxfId="179" priority="464" operator="equal">
      <formula>"H"</formula>
    </cfRule>
  </conditionalFormatting>
  <conditionalFormatting sqref="AC172:AC183">
    <cfRule type="cellIs" dxfId="178" priority="433" operator="equal">
      <formula>"DL"</formula>
    </cfRule>
    <cfRule type="cellIs" dxfId="177" priority="434" operator="equal">
      <formula>"I"</formula>
    </cfRule>
    <cfRule type="cellIs" dxfId="176" priority="435" operator="equal">
      <formula>"S"</formula>
    </cfRule>
    <cfRule type="cellIs" dxfId="175" priority="436" operator="equal">
      <formula>"H"</formula>
    </cfRule>
  </conditionalFormatting>
  <conditionalFormatting sqref="AD172:AD183">
    <cfRule type="cellIs" dxfId="174" priority="429" operator="equal">
      <formula>"DL"</formula>
    </cfRule>
    <cfRule type="cellIs" dxfId="173" priority="430" operator="equal">
      <formula>"I"</formula>
    </cfRule>
    <cfRule type="cellIs" dxfId="172" priority="431" operator="equal">
      <formula>"S"</formula>
    </cfRule>
    <cfRule type="cellIs" dxfId="171" priority="432" operator="equal">
      <formula>"H"</formula>
    </cfRule>
  </conditionalFormatting>
  <conditionalFormatting sqref="AC171">
    <cfRule type="cellIs" dxfId="170" priority="449" operator="equal">
      <formula>"DL"</formula>
    </cfRule>
    <cfRule type="cellIs" dxfId="169" priority="450" operator="equal">
      <formula>"I"</formula>
    </cfRule>
    <cfRule type="cellIs" dxfId="168" priority="451" operator="equal">
      <formula>"S"</formula>
    </cfRule>
    <cfRule type="cellIs" dxfId="167" priority="452" operator="equal">
      <formula>"H"</formula>
    </cfRule>
  </conditionalFormatting>
  <conditionalFormatting sqref="AF70:AF106 AK70">
    <cfRule type="cellIs" dxfId="166" priority="237" operator="equal">
      <formula>"DL"</formula>
    </cfRule>
    <cfRule type="cellIs" dxfId="165" priority="238" operator="equal">
      <formula>"I"</formula>
    </cfRule>
    <cfRule type="cellIs" dxfId="164" priority="239" operator="equal">
      <formula>"S"</formula>
    </cfRule>
    <cfRule type="cellIs" dxfId="163" priority="240" operator="equal">
      <formula>"H"</formula>
    </cfRule>
  </conditionalFormatting>
  <conditionalFormatting sqref="AE107">
    <cfRule type="cellIs" dxfId="162" priority="201" operator="equal">
      <formula>"DL"</formula>
    </cfRule>
    <cfRule type="cellIs" dxfId="161" priority="202" operator="equal">
      <formula>"I"</formula>
    </cfRule>
    <cfRule type="cellIs" dxfId="160" priority="203" operator="equal">
      <formula>"S"</formula>
    </cfRule>
    <cfRule type="cellIs" dxfId="159" priority="204" operator="equal">
      <formula>"H"</formula>
    </cfRule>
  </conditionalFormatting>
  <conditionalFormatting sqref="AJ107">
    <cfRule type="cellIs" dxfId="158" priority="197" operator="equal">
      <formula>"DL"</formula>
    </cfRule>
    <cfRule type="cellIs" dxfId="157" priority="198" operator="equal">
      <formula>"I"</formula>
    </cfRule>
    <cfRule type="cellIs" dxfId="156" priority="199" operator="equal">
      <formula>"S"</formula>
    </cfRule>
    <cfRule type="cellIs" dxfId="155" priority="200" operator="equal">
      <formula>"H"</formula>
    </cfRule>
  </conditionalFormatting>
  <conditionalFormatting sqref="AH107">
    <cfRule type="cellIs" dxfId="154" priority="193" operator="equal">
      <formula>"DL"</formula>
    </cfRule>
    <cfRule type="cellIs" dxfId="153" priority="194" operator="equal">
      <formula>"I"</formula>
    </cfRule>
    <cfRule type="cellIs" dxfId="152" priority="195" operator="equal">
      <formula>"S"</formula>
    </cfRule>
    <cfRule type="cellIs" dxfId="151" priority="196" operator="equal">
      <formula>"H"</formula>
    </cfRule>
  </conditionalFormatting>
  <conditionalFormatting sqref="AG70:AG106">
    <cfRule type="cellIs" dxfId="150" priority="233" operator="equal">
      <formula>"DL"</formula>
    </cfRule>
    <cfRule type="cellIs" dxfId="149" priority="234" operator="equal">
      <formula>"I"</formula>
    </cfRule>
    <cfRule type="cellIs" dxfId="148" priority="235" operator="equal">
      <formula>"S"</formula>
    </cfRule>
    <cfRule type="cellIs" dxfId="147" priority="236" operator="equal">
      <formula>"H"</formula>
    </cfRule>
  </conditionalFormatting>
  <conditionalFormatting sqref="AE70:AE106">
    <cfRule type="cellIs" dxfId="146" priority="229" operator="equal">
      <formula>"DL"</formula>
    </cfRule>
    <cfRule type="cellIs" dxfId="145" priority="230" operator="equal">
      <formula>"I"</formula>
    </cfRule>
    <cfRule type="cellIs" dxfId="144" priority="231" operator="equal">
      <formula>"S"</formula>
    </cfRule>
    <cfRule type="cellIs" dxfId="143" priority="232" operator="equal">
      <formula>"H"</formula>
    </cfRule>
  </conditionalFormatting>
  <conditionalFormatting sqref="AJ70:AJ106">
    <cfRule type="cellIs" dxfId="142" priority="225" operator="equal">
      <formula>"DL"</formula>
    </cfRule>
    <cfRule type="cellIs" dxfId="141" priority="226" operator="equal">
      <formula>"I"</formula>
    </cfRule>
    <cfRule type="cellIs" dxfId="140" priority="227" operator="equal">
      <formula>"S"</formula>
    </cfRule>
    <cfRule type="cellIs" dxfId="139" priority="228" operator="equal">
      <formula>"H"</formula>
    </cfRule>
  </conditionalFormatting>
  <conditionalFormatting sqref="AH70:AH106">
    <cfRule type="cellIs" dxfId="138" priority="221" operator="equal">
      <formula>"DL"</formula>
    </cfRule>
    <cfRule type="cellIs" dxfId="137" priority="222" operator="equal">
      <formula>"I"</formula>
    </cfRule>
    <cfRule type="cellIs" dxfId="136" priority="223" operator="equal">
      <formula>"S"</formula>
    </cfRule>
    <cfRule type="cellIs" dxfId="135" priority="224" operator="equal">
      <formula>"H"</formula>
    </cfRule>
  </conditionalFormatting>
  <conditionalFormatting sqref="AK71:AK106">
    <cfRule type="cellIs" dxfId="134" priority="217" operator="equal">
      <formula>"DL"</formula>
    </cfRule>
    <cfRule type="cellIs" dxfId="133" priority="218" operator="equal">
      <formula>"I"</formula>
    </cfRule>
    <cfRule type="cellIs" dxfId="132" priority="219" operator="equal">
      <formula>"S"</formula>
    </cfRule>
    <cfRule type="cellIs" dxfId="131" priority="220" operator="equal">
      <formula>"H"</formula>
    </cfRule>
  </conditionalFormatting>
  <conditionalFormatting sqref="AI70:AI106">
    <cfRule type="cellIs" dxfId="130" priority="213" operator="equal">
      <formula>"DL"</formula>
    </cfRule>
    <cfRule type="cellIs" dxfId="129" priority="214" operator="equal">
      <formula>"I"</formula>
    </cfRule>
    <cfRule type="cellIs" dxfId="128" priority="215" operator="equal">
      <formula>"S"</formula>
    </cfRule>
    <cfRule type="cellIs" dxfId="127" priority="216" operator="equal">
      <formula>"H"</formula>
    </cfRule>
  </conditionalFormatting>
  <conditionalFormatting sqref="AF108:AF119 AK108">
    <cfRule type="cellIs" dxfId="126" priority="185" operator="equal">
      <formula>"DL"</formula>
    </cfRule>
    <cfRule type="cellIs" dxfId="125" priority="186" operator="equal">
      <formula>"I"</formula>
    </cfRule>
    <cfRule type="cellIs" dxfId="124" priority="187" operator="equal">
      <formula>"S"</formula>
    </cfRule>
    <cfRule type="cellIs" dxfId="123" priority="188" operator="equal">
      <formula>"H"</formula>
    </cfRule>
  </conditionalFormatting>
  <conditionalFormatting sqref="AG108:AG119">
    <cfRule type="cellIs" dxfId="122" priority="181" operator="equal">
      <formula>"DL"</formula>
    </cfRule>
    <cfRule type="cellIs" dxfId="121" priority="182" operator="equal">
      <formula>"I"</formula>
    </cfRule>
    <cfRule type="cellIs" dxfId="120" priority="183" operator="equal">
      <formula>"S"</formula>
    </cfRule>
    <cfRule type="cellIs" dxfId="119" priority="184" operator="equal">
      <formula>"H"</formula>
    </cfRule>
  </conditionalFormatting>
  <conditionalFormatting sqref="AE108:AE119">
    <cfRule type="cellIs" dxfId="118" priority="177" operator="equal">
      <formula>"DL"</formula>
    </cfRule>
    <cfRule type="cellIs" dxfId="117" priority="178" operator="equal">
      <formula>"I"</formula>
    </cfRule>
    <cfRule type="cellIs" dxfId="116" priority="179" operator="equal">
      <formula>"S"</formula>
    </cfRule>
    <cfRule type="cellIs" dxfId="115" priority="180" operator="equal">
      <formula>"H"</formula>
    </cfRule>
  </conditionalFormatting>
  <conditionalFormatting sqref="AJ108:AJ119">
    <cfRule type="cellIs" dxfId="114" priority="173" operator="equal">
      <formula>"DL"</formula>
    </cfRule>
    <cfRule type="cellIs" dxfId="113" priority="174" operator="equal">
      <formula>"I"</formula>
    </cfRule>
    <cfRule type="cellIs" dxfId="112" priority="175" operator="equal">
      <formula>"S"</formula>
    </cfRule>
    <cfRule type="cellIs" dxfId="111" priority="176" operator="equal">
      <formula>"H"</formula>
    </cfRule>
  </conditionalFormatting>
  <conditionalFormatting sqref="AH108:AH119">
    <cfRule type="cellIs" dxfId="110" priority="169" operator="equal">
      <formula>"DL"</formula>
    </cfRule>
    <cfRule type="cellIs" dxfId="109" priority="170" operator="equal">
      <formula>"I"</formula>
    </cfRule>
    <cfRule type="cellIs" dxfId="108" priority="171" operator="equal">
      <formula>"S"</formula>
    </cfRule>
    <cfRule type="cellIs" dxfId="107" priority="172" operator="equal">
      <formula>"H"</formula>
    </cfRule>
  </conditionalFormatting>
  <conditionalFormatting sqref="AK109:AK119">
    <cfRule type="cellIs" dxfId="106" priority="165" operator="equal">
      <formula>"DL"</formula>
    </cfRule>
    <cfRule type="cellIs" dxfId="105" priority="166" operator="equal">
      <formula>"I"</formula>
    </cfRule>
    <cfRule type="cellIs" dxfId="104" priority="167" operator="equal">
      <formula>"S"</formula>
    </cfRule>
    <cfRule type="cellIs" dxfId="103" priority="168" operator="equal">
      <formula>"H"</formula>
    </cfRule>
  </conditionalFormatting>
  <conditionalFormatting sqref="AI108:AI119">
    <cfRule type="cellIs" dxfId="102" priority="161" operator="equal">
      <formula>"DL"</formula>
    </cfRule>
    <cfRule type="cellIs" dxfId="101" priority="162" operator="equal">
      <formula>"I"</formula>
    </cfRule>
    <cfRule type="cellIs" dxfId="100" priority="163" operator="equal">
      <formula>"S"</formula>
    </cfRule>
    <cfRule type="cellIs" dxfId="99" priority="164" operator="equal">
      <formula>"H"</formula>
    </cfRule>
  </conditionalFormatting>
  <conditionalFormatting sqref="AF107 AK107">
    <cfRule type="cellIs" dxfId="98" priority="209" operator="equal">
      <formula>"DL"</formula>
    </cfRule>
    <cfRule type="cellIs" dxfId="97" priority="210" operator="equal">
      <formula>"I"</formula>
    </cfRule>
    <cfRule type="cellIs" dxfId="96" priority="211" operator="equal">
      <formula>"S"</formula>
    </cfRule>
    <cfRule type="cellIs" dxfId="95" priority="212" operator="equal">
      <formula>"H"</formula>
    </cfRule>
  </conditionalFormatting>
  <conditionalFormatting sqref="AG107">
    <cfRule type="cellIs" dxfId="94" priority="205" operator="equal">
      <formula>"DL"</formula>
    </cfRule>
    <cfRule type="cellIs" dxfId="93" priority="206" operator="equal">
      <formula>"I"</formula>
    </cfRule>
    <cfRule type="cellIs" dxfId="92" priority="207" operator="equal">
      <formula>"S"</formula>
    </cfRule>
    <cfRule type="cellIs" dxfId="91" priority="208" operator="equal">
      <formula>"H"</formula>
    </cfRule>
  </conditionalFormatting>
  <conditionalFormatting sqref="AI107">
    <cfRule type="cellIs" dxfId="90" priority="189" operator="equal">
      <formula>"DL"</formula>
    </cfRule>
    <cfRule type="cellIs" dxfId="89" priority="190" operator="equal">
      <formula>"I"</formula>
    </cfRule>
    <cfRule type="cellIs" dxfId="88" priority="191" operator="equal">
      <formula>"S"</formula>
    </cfRule>
    <cfRule type="cellIs" dxfId="87" priority="192" operator="equal">
      <formula>"H"</formula>
    </cfRule>
  </conditionalFormatting>
  <conditionalFormatting sqref="AF134:AF170 AK134">
    <cfRule type="cellIs" dxfId="86" priority="77" operator="equal">
      <formula>"DL"</formula>
    </cfRule>
    <cfRule type="cellIs" dxfId="85" priority="78" operator="equal">
      <formula>"I"</formula>
    </cfRule>
    <cfRule type="cellIs" dxfId="84" priority="79" operator="equal">
      <formula>"S"</formula>
    </cfRule>
    <cfRule type="cellIs" dxfId="83" priority="80" operator="equal">
      <formula>"H"</formula>
    </cfRule>
  </conditionalFormatting>
  <conditionalFormatting sqref="AE171">
    <cfRule type="cellIs" dxfId="82" priority="41" operator="equal">
      <formula>"DL"</formula>
    </cfRule>
    <cfRule type="cellIs" dxfId="81" priority="42" operator="equal">
      <formula>"I"</formula>
    </cfRule>
    <cfRule type="cellIs" dxfId="80" priority="43" operator="equal">
      <formula>"S"</formula>
    </cfRule>
    <cfRule type="cellIs" dxfId="79" priority="44" operator="equal">
      <formula>"H"</formula>
    </cfRule>
  </conditionalFormatting>
  <conditionalFormatting sqref="AJ171">
    <cfRule type="cellIs" dxfId="78" priority="37" operator="equal">
      <formula>"DL"</formula>
    </cfRule>
    <cfRule type="cellIs" dxfId="77" priority="38" operator="equal">
      <formula>"I"</formula>
    </cfRule>
    <cfRule type="cellIs" dxfId="76" priority="39" operator="equal">
      <formula>"S"</formula>
    </cfRule>
    <cfRule type="cellIs" dxfId="75" priority="40" operator="equal">
      <formula>"H"</formula>
    </cfRule>
  </conditionalFormatting>
  <conditionalFormatting sqref="AH171">
    <cfRule type="cellIs" dxfId="74" priority="33" operator="equal">
      <formula>"DL"</formula>
    </cfRule>
    <cfRule type="cellIs" dxfId="73" priority="34" operator="equal">
      <formula>"I"</formula>
    </cfRule>
    <cfRule type="cellIs" dxfId="72" priority="35" operator="equal">
      <formula>"S"</formula>
    </cfRule>
    <cfRule type="cellIs" dxfId="71" priority="36" operator="equal">
      <formula>"H"</formula>
    </cfRule>
  </conditionalFormatting>
  <conditionalFormatting sqref="AG134:AG170">
    <cfRule type="cellIs" dxfId="70" priority="73" operator="equal">
      <formula>"DL"</formula>
    </cfRule>
    <cfRule type="cellIs" dxfId="69" priority="74" operator="equal">
      <formula>"I"</formula>
    </cfRule>
    <cfRule type="cellIs" dxfId="68" priority="75" operator="equal">
      <formula>"S"</formula>
    </cfRule>
    <cfRule type="cellIs" dxfId="67" priority="76" operator="equal">
      <formula>"H"</formula>
    </cfRule>
  </conditionalFormatting>
  <conditionalFormatting sqref="AE134:AE170">
    <cfRule type="cellIs" dxfId="66" priority="69" operator="equal">
      <formula>"DL"</formula>
    </cfRule>
    <cfRule type="cellIs" dxfId="65" priority="70" operator="equal">
      <formula>"I"</formula>
    </cfRule>
    <cfRule type="cellIs" dxfId="64" priority="71" operator="equal">
      <formula>"S"</formula>
    </cfRule>
    <cfRule type="cellIs" dxfId="63" priority="72" operator="equal">
      <formula>"H"</formula>
    </cfRule>
  </conditionalFormatting>
  <conditionalFormatting sqref="AJ134:AJ170">
    <cfRule type="cellIs" dxfId="62" priority="65" operator="equal">
      <formula>"DL"</formula>
    </cfRule>
    <cfRule type="cellIs" dxfId="61" priority="66" operator="equal">
      <formula>"I"</formula>
    </cfRule>
    <cfRule type="cellIs" dxfId="60" priority="67" operator="equal">
      <formula>"S"</formula>
    </cfRule>
    <cfRule type="cellIs" dxfId="59" priority="68" operator="equal">
      <formula>"H"</formula>
    </cfRule>
  </conditionalFormatting>
  <conditionalFormatting sqref="AH134:AH170">
    <cfRule type="cellIs" dxfId="58" priority="61" operator="equal">
      <formula>"DL"</formula>
    </cfRule>
    <cfRule type="cellIs" dxfId="57" priority="62" operator="equal">
      <formula>"I"</formula>
    </cfRule>
    <cfRule type="cellIs" dxfId="56" priority="63" operator="equal">
      <formula>"S"</formula>
    </cfRule>
    <cfRule type="cellIs" dxfId="55" priority="64" operator="equal">
      <formula>"H"</formula>
    </cfRule>
  </conditionalFormatting>
  <conditionalFormatting sqref="AK135:AK170">
    <cfRule type="cellIs" dxfId="54" priority="57" operator="equal">
      <formula>"DL"</formula>
    </cfRule>
    <cfRule type="cellIs" dxfId="53" priority="58" operator="equal">
      <formula>"I"</formula>
    </cfRule>
    <cfRule type="cellIs" dxfId="52" priority="59" operator="equal">
      <formula>"S"</formula>
    </cfRule>
    <cfRule type="cellIs" dxfId="51" priority="60" operator="equal">
      <formula>"H"</formula>
    </cfRule>
  </conditionalFormatting>
  <conditionalFormatting sqref="AI134:AI170">
    <cfRule type="cellIs" dxfId="50" priority="53" operator="equal">
      <formula>"DL"</formula>
    </cfRule>
    <cfRule type="cellIs" dxfId="49" priority="54" operator="equal">
      <formula>"I"</formula>
    </cfRule>
    <cfRule type="cellIs" dxfId="48" priority="55" operator="equal">
      <formula>"S"</formula>
    </cfRule>
    <cfRule type="cellIs" dxfId="47" priority="56" operator="equal">
      <formula>"H"</formula>
    </cfRule>
  </conditionalFormatting>
  <conditionalFormatting sqref="AF172:AF183 AK172">
    <cfRule type="cellIs" dxfId="46" priority="25" operator="equal">
      <formula>"DL"</formula>
    </cfRule>
    <cfRule type="cellIs" dxfId="45" priority="26" operator="equal">
      <formula>"I"</formula>
    </cfRule>
    <cfRule type="cellIs" dxfId="44" priority="27" operator="equal">
      <formula>"S"</formula>
    </cfRule>
    <cfRule type="cellIs" dxfId="43" priority="28" operator="equal">
      <formula>"H"</formula>
    </cfRule>
  </conditionalFormatting>
  <conditionalFormatting sqref="AG172:AG183">
    <cfRule type="cellIs" dxfId="42" priority="21" operator="equal">
      <formula>"DL"</formula>
    </cfRule>
    <cfRule type="cellIs" dxfId="41" priority="22" operator="equal">
      <formula>"I"</formula>
    </cfRule>
    <cfRule type="cellIs" dxfId="40" priority="23" operator="equal">
      <formula>"S"</formula>
    </cfRule>
    <cfRule type="cellIs" dxfId="39" priority="24" operator="equal">
      <formula>"H"</formula>
    </cfRule>
  </conditionalFormatting>
  <conditionalFormatting sqref="AE172:AE183">
    <cfRule type="cellIs" dxfId="38" priority="17" operator="equal">
      <formula>"DL"</formula>
    </cfRule>
    <cfRule type="cellIs" dxfId="37" priority="18" operator="equal">
      <formula>"I"</formula>
    </cfRule>
    <cfRule type="cellIs" dxfId="36" priority="19" operator="equal">
      <formula>"S"</formula>
    </cfRule>
    <cfRule type="cellIs" dxfId="35" priority="20" operator="equal">
      <formula>"H"</formula>
    </cfRule>
  </conditionalFormatting>
  <conditionalFormatting sqref="AJ172:AJ183">
    <cfRule type="cellIs" dxfId="34" priority="13" operator="equal">
      <formula>"DL"</formula>
    </cfRule>
    <cfRule type="cellIs" dxfId="33" priority="14" operator="equal">
      <formula>"I"</formula>
    </cfRule>
    <cfRule type="cellIs" dxfId="32" priority="15" operator="equal">
      <formula>"S"</formula>
    </cfRule>
    <cfRule type="cellIs" dxfId="31" priority="16" operator="equal">
      <formula>"H"</formula>
    </cfRule>
  </conditionalFormatting>
  <conditionalFormatting sqref="AH172:AH183">
    <cfRule type="cellIs" dxfId="30" priority="9" operator="equal">
      <formula>"DL"</formula>
    </cfRule>
    <cfRule type="cellIs" dxfId="29" priority="10" operator="equal">
      <formula>"I"</formula>
    </cfRule>
    <cfRule type="cellIs" dxfId="28" priority="11" operator="equal">
      <formula>"S"</formula>
    </cfRule>
    <cfRule type="cellIs" dxfId="27" priority="12" operator="equal">
      <formula>"H"</formula>
    </cfRule>
  </conditionalFormatting>
  <conditionalFormatting sqref="AK173:AK183">
    <cfRule type="cellIs" dxfId="26" priority="5" operator="equal">
      <formula>"DL"</formula>
    </cfRule>
    <cfRule type="cellIs" dxfId="25" priority="6" operator="equal">
      <formula>"I"</formula>
    </cfRule>
    <cfRule type="cellIs" dxfId="24" priority="7" operator="equal">
      <formula>"S"</formula>
    </cfRule>
    <cfRule type="cellIs" dxfId="23" priority="8" operator="equal">
      <formula>"H"</formula>
    </cfRule>
  </conditionalFormatting>
  <conditionalFormatting sqref="AI172:AI183">
    <cfRule type="cellIs" dxfId="22" priority="1" operator="equal">
      <formula>"DL"</formula>
    </cfRule>
    <cfRule type="cellIs" dxfId="21" priority="2" operator="equal">
      <formula>"I"</formula>
    </cfRule>
    <cfRule type="cellIs" dxfId="20" priority="3" operator="equal">
      <formula>"S"</formula>
    </cfRule>
    <cfRule type="cellIs" dxfId="19" priority="4" operator="equal">
      <formula>"H"</formula>
    </cfRule>
  </conditionalFormatting>
  <conditionalFormatting sqref="AF171 AK171">
    <cfRule type="cellIs" dxfId="18" priority="49" operator="equal">
      <formula>"DL"</formula>
    </cfRule>
    <cfRule type="cellIs" dxfId="17" priority="50" operator="equal">
      <formula>"I"</formula>
    </cfRule>
    <cfRule type="cellIs" dxfId="16" priority="51" operator="equal">
      <formula>"S"</formula>
    </cfRule>
    <cfRule type="cellIs" dxfId="15" priority="52" operator="equal">
      <formula>"H"</formula>
    </cfRule>
  </conditionalFormatting>
  <conditionalFormatting sqref="AG171">
    <cfRule type="cellIs" dxfId="14" priority="45" operator="equal">
      <formula>"DL"</formula>
    </cfRule>
    <cfRule type="cellIs" dxfId="13" priority="46" operator="equal">
      <formula>"I"</formula>
    </cfRule>
    <cfRule type="cellIs" dxfId="12" priority="47" operator="equal">
      <formula>"S"</formula>
    </cfRule>
    <cfRule type="cellIs" dxfId="11" priority="48" operator="equal">
      <formula>"H"</formula>
    </cfRule>
  </conditionalFormatting>
  <conditionalFormatting sqref="AI171">
    <cfRule type="cellIs" dxfId="10" priority="29" operator="equal">
      <formula>"DL"</formula>
    </cfRule>
    <cfRule type="cellIs" dxfId="9" priority="30" operator="equal">
      <formula>"I"</formula>
    </cfRule>
    <cfRule type="cellIs" dxfId="8" priority="31" operator="equal">
      <formula>"S"</formula>
    </cfRule>
    <cfRule type="cellIs" dxfId="7" priority="32" operator="equal">
      <formula>"H"</formula>
    </cfRule>
  </conditionalFormatting>
  <pageMargins left="0.23622047244094499" right="0.3" top="0.35433070866141703" bottom="0.28000000000000003" header="0.23" footer="0.31496062992126"/>
  <pageSetup paperSize="5" scale="83" fitToHeight="0" orientation="landscape" horizontalDpi="4294967293" verticalDpi="360" r:id="rId1"/>
  <rowBreaks count="3" manualBreakCount="3">
    <brk id="63" max="43" man="1"/>
    <brk id="127" max="43" man="1"/>
    <brk id="191" max="4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8C0F2-EA5A-441C-A25E-404555A1270D}">
  <dimension ref="A1:BB59"/>
  <sheetViews>
    <sheetView topLeftCell="AB1" workbookViewId="0">
      <selection activeCell="AF29" sqref="AF29"/>
    </sheetView>
  </sheetViews>
  <sheetFormatPr defaultRowHeight="15"/>
  <cols>
    <col min="2" max="2" width="31.28515625" customWidth="1"/>
    <col min="3" max="3" width="21.5703125" customWidth="1"/>
    <col min="4" max="4" width="22.7109375" customWidth="1"/>
    <col min="6" max="7" width="25.7109375" customWidth="1"/>
    <col min="9" max="9" width="26.28515625" customWidth="1"/>
    <col min="11" max="11" width="24" customWidth="1"/>
    <col min="13" max="13" width="28.7109375" customWidth="1"/>
    <col min="15" max="15" width="27.7109375" customWidth="1"/>
    <col min="17" max="17" width="26.5703125" customWidth="1"/>
    <col min="19" max="19" width="27.5703125" customWidth="1"/>
    <col min="20" max="20" width="9.28515625" customWidth="1"/>
    <col min="21" max="21" width="27.28515625" customWidth="1"/>
    <col min="23" max="23" width="26.7109375" customWidth="1"/>
    <col min="25" max="25" width="28.28515625" customWidth="1"/>
    <col min="27" max="27" width="27.5703125" customWidth="1"/>
    <col min="29" max="29" width="28.5703125" customWidth="1"/>
  </cols>
  <sheetData>
    <row r="1" spans="1:54" ht="15.75" thickBot="1"/>
    <row r="2" spans="1:54" ht="19.899999999999999" customHeight="1">
      <c r="A2" s="284" t="s">
        <v>1</v>
      </c>
      <c r="B2" s="286" t="s">
        <v>2</v>
      </c>
      <c r="C2" s="287"/>
      <c r="D2" s="1" t="s">
        <v>3</v>
      </c>
      <c r="E2" s="290" t="s">
        <v>4</v>
      </c>
      <c r="F2" s="292" t="s">
        <v>5</v>
      </c>
      <c r="G2" s="65"/>
      <c r="H2" s="279" t="s">
        <v>6</v>
      </c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46"/>
      <c r="AF2" s="281" t="s">
        <v>148</v>
      </c>
      <c r="AG2" s="282"/>
      <c r="AH2" s="282"/>
      <c r="AI2" s="282"/>
      <c r="AJ2" s="282"/>
      <c r="AK2" s="282"/>
      <c r="AL2" s="282"/>
      <c r="AM2" s="282"/>
      <c r="AN2" s="282"/>
      <c r="AO2" s="282"/>
      <c r="AP2" s="282"/>
      <c r="AQ2" s="282"/>
      <c r="AR2" s="282"/>
      <c r="AS2" s="282"/>
      <c r="AT2" s="283"/>
    </row>
    <row r="3" spans="1:54" ht="19.899999999999999" customHeight="1">
      <c r="A3" s="285"/>
      <c r="B3" s="288"/>
      <c r="C3" s="289"/>
      <c r="D3" s="2" t="s">
        <v>8</v>
      </c>
      <c r="E3" s="291"/>
      <c r="F3" s="293"/>
      <c r="G3" s="66" t="s">
        <v>149</v>
      </c>
      <c r="H3" s="12">
        <v>1</v>
      </c>
      <c r="I3" s="69" t="s">
        <v>151</v>
      </c>
      <c r="J3" s="13">
        <v>2</v>
      </c>
      <c r="K3" s="5" t="s">
        <v>150</v>
      </c>
      <c r="L3" s="14">
        <v>3</v>
      </c>
      <c r="M3" s="2" t="s">
        <v>152</v>
      </c>
      <c r="N3" s="14">
        <v>4</v>
      </c>
      <c r="O3" s="2" t="s">
        <v>153</v>
      </c>
      <c r="P3" s="14">
        <v>5</v>
      </c>
      <c r="Q3" s="2" t="s">
        <v>154</v>
      </c>
      <c r="R3" s="14">
        <v>6</v>
      </c>
      <c r="S3" s="2" t="s">
        <v>155</v>
      </c>
      <c r="T3" s="14">
        <v>7</v>
      </c>
      <c r="U3" s="71" t="s">
        <v>156</v>
      </c>
      <c r="V3" s="15">
        <v>8</v>
      </c>
      <c r="W3" s="70" t="s">
        <v>157</v>
      </c>
      <c r="X3" s="12">
        <v>9</v>
      </c>
      <c r="Y3" s="5" t="s">
        <v>158</v>
      </c>
      <c r="Z3" s="13">
        <v>10</v>
      </c>
      <c r="AA3" s="5" t="s">
        <v>159</v>
      </c>
      <c r="AB3" s="14">
        <v>11</v>
      </c>
      <c r="AC3" s="2" t="s">
        <v>160</v>
      </c>
      <c r="AD3" s="14">
        <v>12</v>
      </c>
      <c r="AE3" s="13"/>
      <c r="AF3" s="24">
        <v>1</v>
      </c>
      <c r="AG3" s="25">
        <v>2</v>
      </c>
      <c r="AH3" s="26">
        <v>3</v>
      </c>
      <c r="AI3" s="26">
        <v>4</v>
      </c>
      <c r="AJ3" s="26">
        <v>5</v>
      </c>
      <c r="AK3" s="26">
        <v>6</v>
      </c>
      <c r="AL3" s="26">
        <v>7</v>
      </c>
      <c r="AM3" s="27">
        <v>8</v>
      </c>
      <c r="AN3" s="24">
        <v>9</v>
      </c>
      <c r="AO3" s="25">
        <v>10</v>
      </c>
      <c r="AP3" s="26">
        <v>11</v>
      </c>
      <c r="AQ3" s="26">
        <v>12</v>
      </c>
      <c r="AR3" s="36"/>
      <c r="AS3" s="38"/>
      <c r="AT3" s="52"/>
      <c r="AY3" s="294"/>
      <c r="AZ3" s="294"/>
      <c r="BA3" s="294"/>
      <c r="BB3" s="294"/>
    </row>
    <row r="4" spans="1:54" ht="7.9" customHeight="1" thickBot="1">
      <c r="A4" s="30"/>
      <c r="B4" s="295"/>
      <c r="C4" s="296"/>
      <c r="D4" s="31"/>
      <c r="E4" s="31"/>
      <c r="F4" s="32"/>
      <c r="G4" s="35"/>
      <c r="H4" s="40"/>
      <c r="I4" s="35"/>
      <c r="J4" s="41"/>
      <c r="K4" s="33"/>
      <c r="L4" s="41"/>
      <c r="M4" s="33"/>
      <c r="N4" s="41"/>
      <c r="O4" s="33"/>
      <c r="P4" s="41"/>
      <c r="Q4" s="33"/>
      <c r="R4" s="41"/>
      <c r="S4" s="33"/>
      <c r="T4" s="41"/>
      <c r="U4" s="33"/>
      <c r="V4" s="42"/>
      <c r="W4" s="35"/>
      <c r="X4" s="43"/>
      <c r="Y4" s="34"/>
      <c r="Z4" s="44"/>
      <c r="AA4" s="34"/>
      <c r="AB4" s="45"/>
      <c r="AC4" s="31"/>
      <c r="AD4" s="45"/>
      <c r="AE4" s="45"/>
      <c r="AF4" s="47"/>
      <c r="AG4" s="47"/>
      <c r="AH4" s="48"/>
      <c r="AI4" s="49"/>
      <c r="AJ4" s="50"/>
      <c r="AK4" s="50"/>
      <c r="AL4" s="50"/>
      <c r="AM4" s="50"/>
      <c r="AN4" s="51"/>
      <c r="AO4" s="51"/>
      <c r="AP4" s="51"/>
      <c r="AQ4" s="51"/>
      <c r="AR4" s="51"/>
      <c r="AS4" s="51"/>
      <c r="AT4" s="53"/>
      <c r="AY4" s="294"/>
      <c r="AZ4" s="294"/>
      <c r="BA4" s="294"/>
      <c r="BB4" s="294"/>
    </row>
    <row r="5" spans="1:54" ht="15.6" customHeight="1">
      <c r="A5" s="6">
        <v>1</v>
      </c>
      <c r="B5" s="4" t="e">
        <f>#REF!</f>
        <v>#REF!</v>
      </c>
      <c r="C5" s="4" t="e">
        <f>#REF!</f>
        <v>#REF!</v>
      </c>
      <c r="D5" s="3" t="e">
        <f>#REF!</f>
        <v>#REF!</v>
      </c>
      <c r="E5" s="3" t="e">
        <f>#REF!</f>
        <v>#REF!</v>
      </c>
      <c r="F5" s="8" t="e">
        <f>#REF!</f>
        <v>#REF!</v>
      </c>
      <c r="G5" s="67" t="e">
        <f>#REF!</f>
        <v>#REF!</v>
      </c>
      <c r="H5" s="63"/>
      <c r="I5" s="68" t="e">
        <f>#REF!</f>
        <v>#REF!</v>
      </c>
      <c r="J5" s="64"/>
      <c r="K5" s="3" t="e">
        <f>#REF!</f>
        <v>#REF!</v>
      </c>
      <c r="L5" s="64"/>
      <c r="M5" s="3" t="e">
        <f>#REF!</f>
        <v>#REF!</v>
      </c>
      <c r="N5" s="64"/>
      <c r="O5" s="3" t="e">
        <f>#REF!</f>
        <v>#REF!</v>
      </c>
      <c r="P5" s="64"/>
      <c r="Q5" s="3" t="e">
        <f>#REF!</f>
        <v>#REF!</v>
      </c>
      <c r="R5" s="64"/>
      <c r="S5" s="3" t="e">
        <f>#REF!</f>
        <v>#REF!</v>
      </c>
      <c r="T5" s="64"/>
      <c r="U5" s="3" t="e">
        <f>#REF!</f>
        <v>#REF!</v>
      </c>
      <c r="V5" s="64"/>
      <c r="W5" s="68" t="e">
        <f>#REF!</f>
        <v>#REF!</v>
      </c>
      <c r="X5" s="63"/>
      <c r="Y5" s="68" t="e">
        <f>#REF!</f>
        <v>#REF!</v>
      </c>
      <c r="Z5" s="17" t="e">
        <f>#REF!</f>
        <v>#REF!</v>
      </c>
      <c r="AA5" s="3" t="e">
        <f>#REF!</f>
        <v>#REF!</v>
      </c>
      <c r="AB5" s="17" t="e">
        <f>#REF!</f>
        <v>#REF!</v>
      </c>
      <c r="AC5" s="3" t="e">
        <f>#REF!</f>
        <v>#REF!</v>
      </c>
      <c r="AD5" s="17" t="e">
        <f>#REF!</f>
        <v>#REF!</v>
      </c>
      <c r="AE5" s="17"/>
      <c r="AF5" s="29" t="e">
        <f>#REF!</f>
        <v>#REF!</v>
      </c>
      <c r="AG5" s="29" t="e">
        <f>#REF!</f>
        <v>#REF!</v>
      </c>
      <c r="AH5" s="29" t="e">
        <f>#REF!</f>
        <v>#REF!</v>
      </c>
      <c r="AI5" s="28" t="e">
        <f>#REF!</f>
        <v>#REF!</v>
      </c>
      <c r="AJ5" s="29" t="e">
        <f>#REF!</f>
        <v>#REF!</v>
      </c>
      <c r="AK5" s="29" t="e">
        <f>#REF!</f>
        <v>#REF!</v>
      </c>
      <c r="AL5" s="29"/>
      <c r="AM5" s="29"/>
      <c r="AN5" s="37"/>
      <c r="AO5" s="37"/>
      <c r="AP5" s="37"/>
      <c r="AQ5" s="37"/>
      <c r="AR5" s="37"/>
      <c r="AS5" s="39"/>
      <c r="AT5" s="54"/>
      <c r="AY5" s="297"/>
      <c r="AZ5" s="297"/>
      <c r="BA5" s="297"/>
      <c r="BB5" s="297"/>
    </row>
    <row r="6" spans="1:54" ht="15.6" customHeight="1">
      <c r="A6" s="7">
        <v>2</v>
      </c>
      <c r="B6" s="4" t="e">
        <f>#REF!</f>
        <v>#REF!</v>
      </c>
      <c r="C6" s="4" t="e">
        <f>#REF!</f>
        <v>#REF!</v>
      </c>
      <c r="D6" s="3" t="e">
        <f>#REF!</f>
        <v>#REF!</v>
      </c>
      <c r="E6" s="3" t="e">
        <f>#REF!</f>
        <v>#REF!</v>
      </c>
      <c r="F6" s="8" t="e">
        <f>#REF!</f>
        <v>#REF!</v>
      </c>
      <c r="G6" s="67" t="e">
        <f>#REF!</f>
        <v>#REF!</v>
      </c>
      <c r="H6" s="16" t="e">
        <f>#REF!</f>
        <v>#REF!</v>
      </c>
      <c r="I6" s="68" t="e">
        <f>#REF!</f>
        <v>#REF!</v>
      </c>
      <c r="J6" s="17" t="e">
        <f>#REF!</f>
        <v>#REF!</v>
      </c>
      <c r="K6" s="3" t="e">
        <f>#REF!</f>
        <v>#REF!</v>
      </c>
      <c r="L6" s="17" t="e">
        <f>#REF!</f>
        <v>#REF!</v>
      </c>
      <c r="M6" s="3" t="e">
        <f>#REF!</f>
        <v>#REF!</v>
      </c>
      <c r="N6" s="17" t="e">
        <f>#REF!</f>
        <v>#REF!</v>
      </c>
      <c r="O6" s="3" t="e">
        <f>#REF!</f>
        <v>#REF!</v>
      </c>
      <c r="P6" s="17" t="e">
        <f>#REF!</f>
        <v>#REF!</v>
      </c>
      <c r="Q6" s="3" t="e">
        <f>#REF!</f>
        <v>#REF!</v>
      </c>
      <c r="R6" s="17" t="e">
        <f>#REF!</f>
        <v>#REF!</v>
      </c>
      <c r="S6" s="3" t="e">
        <f>#REF!</f>
        <v>#REF!</v>
      </c>
      <c r="T6" s="17" t="e">
        <f>#REF!</f>
        <v>#REF!</v>
      </c>
      <c r="U6" s="3" t="e">
        <f>#REF!</f>
        <v>#REF!</v>
      </c>
      <c r="V6" s="17" t="e">
        <f>#REF!</f>
        <v>#REF!</v>
      </c>
      <c r="W6" s="68" t="e">
        <f>#REF!</f>
        <v>#REF!</v>
      </c>
      <c r="X6" s="16" t="e">
        <f>#REF!</f>
        <v>#REF!</v>
      </c>
      <c r="Y6" s="68" t="e">
        <f>#REF!</f>
        <v>#REF!</v>
      </c>
      <c r="Z6" s="17" t="e">
        <f>#REF!</f>
        <v>#REF!</v>
      </c>
      <c r="AA6" s="3" t="e">
        <f>#REF!</f>
        <v>#REF!</v>
      </c>
      <c r="AB6" s="17" t="e">
        <f>#REF!</f>
        <v>#REF!</v>
      </c>
      <c r="AC6" s="3" t="e">
        <f>#REF!</f>
        <v>#REF!</v>
      </c>
      <c r="AD6" s="17" t="e">
        <f>#REF!</f>
        <v>#REF!</v>
      </c>
      <c r="AE6" s="17"/>
      <c r="AF6" s="29" t="e">
        <f>#REF!</f>
        <v>#REF!</v>
      </c>
      <c r="AG6" s="29" t="e">
        <f>#REF!</f>
        <v>#REF!</v>
      </c>
      <c r="AH6" s="29" t="e">
        <f>#REF!</f>
        <v>#REF!</v>
      </c>
      <c r="AI6" s="28" t="e">
        <f>#REF!</f>
        <v>#REF!</v>
      </c>
      <c r="AJ6" s="29" t="e">
        <f>#REF!</f>
        <v>#REF!</v>
      </c>
      <c r="AK6" s="29" t="e">
        <f>#REF!</f>
        <v>#REF!</v>
      </c>
      <c r="AL6" s="29"/>
      <c r="AM6" s="29"/>
      <c r="AN6" s="37"/>
      <c r="AO6" s="37"/>
      <c r="AP6" s="37"/>
      <c r="AQ6" s="37"/>
      <c r="AR6" s="37"/>
      <c r="AS6" s="39"/>
      <c r="AT6" s="54"/>
      <c r="AY6" s="278"/>
      <c r="AZ6" s="278"/>
      <c r="BA6" s="278"/>
      <c r="BB6" s="278"/>
    </row>
    <row r="7" spans="1:54" ht="15.6" customHeight="1">
      <c r="A7" s="6">
        <v>3</v>
      </c>
      <c r="B7" s="4" t="e">
        <f>#REF!</f>
        <v>#REF!</v>
      </c>
      <c r="C7" s="4" t="e">
        <f>#REF!</f>
        <v>#REF!</v>
      </c>
      <c r="D7" s="3" t="e">
        <f>#REF!</f>
        <v>#REF!</v>
      </c>
      <c r="E7" s="3" t="e">
        <f>#REF!</f>
        <v>#REF!</v>
      </c>
      <c r="F7" s="8" t="e">
        <f>#REF!</f>
        <v>#REF!</v>
      </c>
      <c r="G7" s="67" t="e">
        <f>#REF!</f>
        <v>#REF!</v>
      </c>
      <c r="H7" s="16" t="e">
        <f>#REF!</f>
        <v>#REF!</v>
      </c>
      <c r="I7" s="68" t="e">
        <f>#REF!</f>
        <v>#REF!</v>
      </c>
      <c r="J7" s="17" t="e">
        <f>#REF!</f>
        <v>#REF!</v>
      </c>
      <c r="K7" s="3" t="e">
        <f>#REF!</f>
        <v>#REF!</v>
      </c>
      <c r="L7" s="17" t="e">
        <f>#REF!</f>
        <v>#REF!</v>
      </c>
      <c r="M7" s="3" t="e">
        <f>#REF!</f>
        <v>#REF!</v>
      </c>
      <c r="N7" s="17" t="e">
        <f>#REF!</f>
        <v>#REF!</v>
      </c>
      <c r="O7" s="3" t="e">
        <f>#REF!</f>
        <v>#REF!</v>
      </c>
      <c r="P7" s="17" t="e">
        <f>#REF!</f>
        <v>#REF!</v>
      </c>
      <c r="Q7" s="3" t="e">
        <f>#REF!</f>
        <v>#REF!</v>
      </c>
      <c r="R7" s="17" t="e">
        <f>#REF!</f>
        <v>#REF!</v>
      </c>
      <c r="S7" s="3" t="e">
        <f>#REF!</f>
        <v>#REF!</v>
      </c>
      <c r="T7" s="17" t="e">
        <f>#REF!</f>
        <v>#REF!</v>
      </c>
      <c r="U7" s="3" t="e">
        <f>#REF!</f>
        <v>#REF!</v>
      </c>
      <c r="V7" s="17" t="e">
        <f>#REF!</f>
        <v>#REF!</v>
      </c>
      <c r="W7" s="68" t="e">
        <f>#REF!</f>
        <v>#REF!</v>
      </c>
      <c r="X7" s="16" t="e">
        <f>#REF!</f>
        <v>#REF!</v>
      </c>
      <c r="Y7" s="68" t="e">
        <f>#REF!</f>
        <v>#REF!</v>
      </c>
      <c r="Z7" s="17" t="e">
        <f>#REF!</f>
        <v>#REF!</v>
      </c>
      <c r="AA7" s="3" t="e">
        <f>#REF!</f>
        <v>#REF!</v>
      </c>
      <c r="AB7" s="17" t="e">
        <f>#REF!</f>
        <v>#REF!</v>
      </c>
      <c r="AC7" s="3" t="e">
        <f>#REF!</f>
        <v>#REF!</v>
      </c>
      <c r="AD7" s="17" t="e">
        <f>#REF!</f>
        <v>#REF!</v>
      </c>
      <c r="AE7" s="17"/>
      <c r="AF7" s="29" t="e">
        <f>#REF!</f>
        <v>#REF!</v>
      </c>
      <c r="AG7" s="29" t="e">
        <f>#REF!</f>
        <v>#REF!</v>
      </c>
      <c r="AH7" s="29" t="e">
        <f>#REF!</f>
        <v>#REF!</v>
      </c>
      <c r="AI7" s="28" t="e">
        <f>#REF!</f>
        <v>#REF!</v>
      </c>
      <c r="AJ7" s="29" t="e">
        <f>#REF!</f>
        <v>#REF!</v>
      </c>
      <c r="AK7" s="29" t="e">
        <f>#REF!</f>
        <v>#REF!</v>
      </c>
      <c r="AL7" s="29"/>
      <c r="AM7" s="29"/>
      <c r="AN7" s="37"/>
      <c r="AO7" s="37"/>
      <c r="AP7" s="37"/>
      <c r="AQ7" s="37"/>
      <c r="AR7" s="37"/>
      <c r="AS7" s="39"/>
      <c r="AT7" s="54"/>
      <c r="AY7" s="278"/>
      <c r="AZ7" s="278"/>
      <c r="BA7" s="278"/>
      <c r="BB7" s="278"/>
    </row>
    <row r="8" spans="1:54" ht="15.6" customHeight="1">
      <c r="A8" s="7">
        <v>4</v>
      </c>
      <c r="B8" s="4" t="e">
        <f>#REF!</f>
        <v>#REF!</v>
      </c>
      <c r="C8" s="4" t="e">
        <f>#REF!</f>
        <v>#REF!</v>
      </c>
      <c r="D8" s="3" t="e">
        <f>#REF!</f>
        <v>#REF!</v>
      </c>
      <c r="E8" s="3" t="e">
        <f>#REF!</f>
        <v>#REF!</v>
      </c>
      <c r="F8" s="8" t="e">
        <f>#REF!</f>
        <v>#REF!</v>
      </c>
      <c r="G8" s="67" t="e">
        <f>#REF!</f>
        <v>#REF!</v>
      </c>
      <c r="H8" s="16" t="e">
        <f>#REF!</f>
        <v>#REF!</v>
      </c>
      <c r="I8" s="68" t="e">
        <f>#REF!</f>
        <v>#REF!</v>
      </c>
      <c r="J8" s="17" t="e">
        <f>#REF!</f>
        <v>#REF!</v>
      </c>
      <c r="K8" s="3" t="e">
        <f>#REF!</f>
        <v>#REF!</v>
      </c>
      <c r="L8" s="17" t="e">
        <f>#REF!</f>
        <v>#REF!</v>
      </c>
      <c r="M8" s="3" t="e">
        <f>#REF!</f>
        <v>#REF!</v>
      </c>
      <c r="N8" s="17" t="e">
        <f>#REF!</f>
        <v>#REF!</v>
      </c>
      <c r="O8" s="3" t="e">
        <f>#REF!</f>
        <v>#REF!</v>
      </c>
      <c r="P8" s="17" t="e">
        <f>#REF!</f>
        <v>#REF!</v>
      </c>
      <c r="Q8" s="3" t="e">
        <f>#REF!</f>
        <v>#REF!</v>
      </c>
      <c r="R8" s="17" t="e">
        <f>#REF!</f>
        <v>#REF!</v>
      </c>
      <c r="S8" s="3" t="e">
        <f>#REF!</f>
        <v>#REF!</v>
      </c>
      <c r="T8" s="17" t="e">
        <f>#REF!</f>
        <v>#REF!</v>
      </c>
      <c r="U8" s="3" t="e">
        <f>#REF!</f>
        <v>#REF!</v>
      </c>
      <c r="V8" s="17" t="e">
        <f>#REF!</f>
        <v>#REF!</v>
      </c>
      <c r="W8" s="68" t="e">
        <f>#REF!</f>
        <v>#REF!</v>
      </c>
      <c r="X8" s="16" t="e">
        <f>#REF!</f>
        <v>#REF!</v>
      </c>
      <c r="Y8" s="68" t="e">
        <f>#REF!</f>
        <v>#REF!</v>
      </c>
      <c r="Z8" s="17" t="e">
        <f>#REF!</f>
        <v>#REF!</v>
      </c>
      <c r="AA8" s="3" t="e">
        <f>#REF!</f>
        <v>#REF!</v>
      </c>
      <c r="AB8" s="17" t="e">
        <f>#REF!</f>
        <v>#REF!</v>
      </c>
      <c r="AC8" s="3" t="e">
        <f>#REF!</f>
        <v>#REF!</v>
      </c>
      <c r="AD8" s="17" t="e">
        <f>#REF!</f>
        <v>#REF!</v>
      </c>
      <c r="AE8" s="17"/>
      <c r="AF8" s="29" t="e">
        <f>#REF!</f>
        <v>#REF!</v>
      </c>
      <c r="AG8" s="29" t="e">
        <f>#REF!</f>
        <v>#REF!</v>
      </c>
      <c r="AH8" s="29" t="e">
        <f>#REF!</f>
        <v>#REF!</v>
      </c>
      <c r="AI8" s="28" t="e">
        <f>#REF!</f>
        <v>#REF!</v>
      </c>
      <c r="AJ8" s="29" t="e">
        <f>#REF!</f>
        <v>#REF!</v>
      </c>
      <c r="AK8" s="29" t="e">
        <f>#REF!</f>
        <v>#REF!</v>
      </c>
      <c r="AL8" s="29"/>
      <c r="AM8" s="29"/>
      <c r="AN8" s="37"/>
      <c r="AO8" s="37"/>
      <c r="AP8" s="37"/>
      <c r="AQ8" s="37"/>
      <c r="AR8" s="37"/>
      <c r="AS8" s="39"/>
      <c r="AT8" s="54"/>
      <c r="AY8" s="278"/>
      <c r="AZ8" s="278"/>
      <c r="BA8" s="278"/>
      <c r="BB8" s="278"/>
    </row>
    <row r="9" spans="1:54" ht="15.6" customHeight="1">
      <c r="A9" s="6">
        <v>5</v>
      </c>
      <c r="B9" s="4" t="e">
        <f>#REF!</f>
        <v>#REF!</v>
      </c>
      <c r="C9" s="4" t="e">
        <f>#REF!</f>
        <v>#REF!</v>
      </c>
      <c r="D9" s="3" t="e">
        <f>#REF!</f>
        <v>#REF!</v>
      </c>
      <c r="E9" s="3" t="e">
        <f>#REF!</f>
        <v>#REF!</v>
      </c>
      <c r="F9" s="8" t="e">
        <f>#REF!</f>
        <v>#REF!</v>
      </c>
      <c r="G9" s="67" t="e">
        <f>#REF!</f>
        <v>#REF!</v>
      </c>
      <c r="H9" s="16" t="e">
        <f>#REF!</f>
        <v>#REF!</v>
      </c>
      <c r="I9" s="68" t="e">
        <f>#REF!</f>
        <v>#REF!</v>
      </c>
      <c r="J9" s="17" t="e">
        <f>#REF!</f>
        <v>#REF!</v>
      </c>
      <c r="K9" s="3" t="e">
        <f>#REF!</f>
        <v>#REF!</v>
      </c>
      <c r="L9" s="17" t="e">
        <f>#REF!</f>
        <v>#REF!</v>
      </c>
      <c r="M9" s="3" t="e">
        <f>#REF!</f>
        <v>#REF!</v>
      </c>
      <c r="N9" s="17" t="e">
        <f>#REF!</f>
        <v>#REF!</v>
      </c>
      <c r="O9" s="3" t="e">
        <f>#REF!</f>
        <v>#REF!</v>
      </c>
      <c r="P9" s="17" t="e">
        <f>#REF!</f>
        <v>#REF!</v>
      </c>
      <c r="Q9" s="3" t="e">
        <f>#REF!</f>
        <v>#REF!</v>
      </c>
      <c r="R9" s="17" t="e">
        <f>#REF!</f>
        <v>#REF!</v>
      </c>
      <c r="S9" s="3" t="e">
        <f>#REF!</f>
        <v>#REF!</v>
      </c>
      <c r="T9" s="17" t="e">
        <f>#REF!</f>
        <v>#REF!</v>
      </c>
      <c r="U9" s="3" t="e">
        <f>#REF!</f>
        <v>#REF!</v>
      </c>
      <c r="V9" s="17" t="e">
        <f>#REF!</f>
        <v>#REF!</v>
      </c>
      <c r="W9" s="68" t="e">
        <f>#REF!</f>
        <v>#REF!</v>
      </c>
      <c r="X9" s="16" t="e">
        <f>#REF!</f>
        <v>#REF!</v>
      </c>
      <c r="Y9" s="68" t="e">
        <f>#REF!</f>
        <v>#REF!</v>
      </c>
      <c r="Z9" s="17" t="e">
        <f>#REF!</f>
        <v>#REF!</v>
      </c>
      <c r="AA9" s="3" t="e">
        <f>#REF!</f>
        <v>#REF!</v>
      </c>
      <c r="AB9" s="17" t="e">
        <f>#REF!</f>
        <v>#REF!</v>
      </c>
      <c r="AC9" s="3" t="e">
        <f>#REF!</f>
        <v>#REF!</v>
      </c>
      <c r="AD9" s="17" t="e">
        <f>#REF!</f>
        <v>#REF!</v>
      </c>
      <c r="AE9" s="17"/>
      <c r="AF9" s="29" t="e">
        <f>#REF!</f>
        <v>#REF!</v>
      </c>
      <c r="AG9" s="29" t="e">
        <f>#REF!</f>
        <v>#REF!</v>
      </c>
      <c r="AH9" s="29" t="e">
        <f>#REF!</f>
        <v>#REF!</v>
      </c>
      <c r="AI9" s="28" t="e">
        <f>#REF!</f>
        <v>#REF!</v>
      </c>
      <c r="AJ9" s="29" t="e">
        <f>#REF!</f>
        <v>#REF!</v>
      </c>
      <c r="AK9" s="29" t="e">
        <f>#REF!</f>
        <v>#REF!</v>
      </c>
      <c r="AL9" s="29"/>
      <c r="AM9" s="29"/>
      <c r="AN9" s="37"/>
      <c r="AO9" s="37"/>
      <c r="AP9" s="37"/>
      <c r="AQ9" s="37"/>
      <c r="AR9" s="37"/>
      <c r="AS9" s="39"/>
      <c r="AT9" s="54"/>
      <c r="AY9" s="278"/>
      <c r="AZ9" s="278"/>
      <c r="BA9" s="278"/>
      <c r="BB9" s="278"/>
    </row>
    <row r="10" spans="1:54" ht="15.6" customHeight="1">
      <c r="A10" s="7">
        <v>6</v>
      </c>
      <c r="B10" s="4" t="e">
        <f>#REF!</f>
        <v>#REF!</v>
      </c>
      <c r="C10" s="4" t="e">
        <f>#REF!</f>
        <v>#REF!</v>
      </c>
      <c r="D10" s="3" t="e">
        <f>#REF!</f>
        <v>#REF!</v>
      </c>
      <c r="E10" s="3" t="e">
        <f>#REF!</f>
        <v>#REF!</v>
      </c>
      <c r="F10" s="8" t="e">
        <f>#REF!</f>
        <v>#REF!</v>
      </c>
      <c r="G10" s="67" t="e">
        <f>#REF!</f>
        <v>#REF!</v>
      </c>
      <c r="H10" s="16" t="e">
        <f>#REF!</f>
        <v>#REF!</v>
      </c>
      <c r="I10" s="68" t="e">
        <f>#REF!</f>
        <v>#REF!</v>
      </c>
      <c r="J10" s="17" t="e">
        <f>#REF!</f>
        <v>#REF!</v>
      </c>
      <c r="K10" s="3" t="e">
        <f>#REF!</f>
        <v>#REF!</v>
      </c>
      <c r="L10" s="17" t="e">
        <f>#REF!</f>
        <v>#REF!</v>
      </c>
      <c r="M10" s="3" t="e">
        <f>#REF!</f>
        <v>#REF!</v>
      </c>
      <c r="N10" s="17" t="e">
        <f>#REF!</f>
        <v>#REF!</v>
      </c>
      <c r="O10" s="3" t="e">
        <f>#REF!</f>
        <v>#REF!</v>
      </c>
      <c r="P10" s="17" t="e">
        <f>#REF!</f>
        <v>#REF!</v>
      </c>
      <c r="Q10" s="3" t="e">
        <f>#REF!</f>
        <v>#REF!</v>
      </c>
      <c r="R10" s="17" t="e">
        <f>#REF!</f>
        <v>#REF!</v>
      </c>
      <c r="S10" s="3" t="e">
        <f>#REF!</f>
        <v>#REF!</v>
      </c>
      <c r="T10" s="17" t="e">
        <f>#REF!</f>
        <v>#REF!</v>
      </c>
      <c r="U10" s="3" t="e">
        <f>#REF!</f>
        <v>#REF!</v>
      </c>
      <c r="V10" s="17" t="e">
        <f>#REF!</f>
        <v>#REF!</v>
      </c>
      <c r="W10" s="68" t="e">
        <f>#REF!</f>
        <v>#REF!</v>
      </c>
      <c r="X10" s="16" t="e">
        <f>#REF!</f>
        <v>#REF!</v>
      </c>
      <c r="Y10" s="68" t="e">
        <f>#REF!</f>
        <v>#REF!</v>
      </c>
      <c r="Z10" s="17" t="e">
        <f>#REF!</f>
        <v>#REF!</v>
      </c>
      <c r="AA10" s="3" t="e">
        <f>#REF!</f>
        <v>#REF!</v>
      </c>
      <c r="AB10" s="17" t="e">
        <f>#REF!</f>
        <v>#REF!</v>
      </c>
      <c r="AC10" s="3" t="e">
        <f>#REF!</f>
        <v>#REF!</v>
      </c>
      <c r="AD10" s="17" t="e">
        <f>#REF!</f>
        <v>#REF!</v>
      </c>
      <c r="AE10" s="17"/>
      <c r="AF10" s="29" t="e">
        <f>#REF!</f>
        <v>#REF!</v>
      </c>
      <c r="AG10" s="29" t="e">
        <f>#REF!</f>
        <v>#REF!</v>
      </c>
      <c r="AH10" s="29" t="e">
        <f>#REF!</f>
        <v>#REF!</v>
      </c>
      <c r="AI10" s="28" t="e">
        <f>#REF!</f>
        <v>#REF!</v>
      </c>
      <c r="AJ10" s="29" t="e">
        <f>#REF!</f>
        <v>#REF!</v>
      </c>
      <c r="AK10" s="29" t="e">
        <f>#REF!</f>
        <v>#REF!</v>
      </c>
      <c r="AL10" s="29"/>
      <c r="AM10" s="29"/>
      <c r="AN10" s="37"/>
      <c r="AO10" s="37"/>
      <c r="AP10" s="37"/>
      <c r="AQ10" s="37"/>
      <c r="AR10" s="37"/>
      <c r="AS10" s="39"/>
      <c r="AT10" s="54"/>
      <c r="AY10" s="278"/>
      <c r="AZ10" s="278"/>
      <c r="BA10" s="278"/>
      <c r="BB10" s="278"/>
    </row>
    <row r="11" spans="1:54" ht="15.6" customHeight="1">
      <c r="A11" s="6">
        <v>7</v>
      </c>
      <c r="B11" s="4" t="e">
        <f>#REF!</f>
        <v>#REF!</v>
      </c>
      <c r="C11" s="4" t="e">
        <f>#REF!</f>
        <v>#REF!</v>
      </c>
      <c r="D11" s="3" t="e">
        <f>#REF!</f>
        <v>#REF!</v>
      </c>
      <c r="E11" s="3" t="e">
        <f>#REF!</f>
        <v>#REF!</v>
      </c>
      <c r="F11" s="8" t="e">
        <f>#REF!</f>
        <v>#REF!</v>
      </c>
      <c r="G11" s="67" t="e">
        <f>#REF!</f>
        <v>#REF!</v>
      </c>
      <c r="H11" s="16" t="e">
        <f>#REF!</f>
        <v>#REF!</v>
      </c>
      <c r="I11" s="68" t="e">
        <f>#REF!</f>
        <v>#REF!</v>
      </c>
      <c r="J11" s="17" t="e">
        <f>#REF!</f>
        <v>#REF!</v>
      </c>
      <c r="K11" s="3" t="e">
        <f>#REF!</f>
        <v>#REF!</v>
      </c>
      <c r="L11" s="17" t="e">
        <f>#REF!</f>
        <v>#REF!</v>
      </c>
      <c r="M11" s="3" t="e">
        <f>#REF!</f>
        <v>#REF!</v>
      </c>
      <c r="N11" s="17" t="e">
        <f>#REF!</f>
        <v>#REF!</v>
      </c>
      <c r="O11" s="3" t="e">
        <f>#REF!</f>
        <v>#REF!</v>
      </c>
      <c r="P11" s="17" t="e">
        <f>#REF!</f>
        <v>#REF!</v>
      </c>
      <c r="Q11" s="3" t="e">
        <f>#REF!</f>
        <v>#REF!</v>
      </c>
      <c r="R11" s="17" t="e">
        <f>#REF!</f>
        <v>#REF!</v>
      </c>
      <c r="S11" s="3" t="e">
        <f>#REF!</f>
        <v>#REF!</v>
      </c>
      <c r="T11" s="17" t="e">
        <f>#REF!</f>
        <v>#REF!</v>
      </c>
      <c r="U11" s="3" t="e">
        <f>#REF!</f>
        <v>#REF!</v>
      </c>
      <c r="V11" s="17" t="e">
        <f>#REF!</f>
        <v>#REF!</v>
      </c>
      <c r="W11" s="68" t="e">
        <f>#REF!</f>
        <v>#REF!</v>
      </c>
      <c r="X11" s="16" t="e">
        <f>#REF!</f>
        <v>#REF!</v>
      </c>
      <c r="Y11" s="68" t="e">
        <f>#REF!</f>
        <v>#REF!</v>
      </c>
      <c r="Z11" s="17" t="e">
        <f>#REF!</f>
        <v>#REF!</v>
      </c>
      <c r="AA11" s="3" t="e">
        <f>#REF!</f>
        <v>#REF!</v>
      </c>
      <c r="AB11" s="17" t="e">
        <f>#REF!</f>
        <v>#REF!</v>
      </c>
      <c r="AC11" s="3" t="e">
        <f>#REF!</f>
        <v>#REF!</v>
      </c>
      <c r="AD11" s="17" t="e">
        <f>#REF!</f>
        <v>#REF!</v>
      </c>
      <c r="AE11" s="17"/>
      <c r="AF11" s="29" t="e">
        <f>#REF!</f>
        <v>#REF!</v>
      </c>
      <c r="AG11" s="29" t="e">
        <f>#REF!</f>
        <v>#REF!</v>
      </c>
      <c r="AH11" s="29" t="e">
        <f>#REF!</f>
        <v>#REF!</v>
      </c>
      <c r="AI11" s="28" t="e">
        <f>#REF!</f>
        <v>#REF!</v>
      </c>
      <c r="AJ11" s="29" t="e">
        <f>#REF!</f>
        <v>#REF!</v>
      </c>
      <c r="AK11" s="29" t="e">
        <f>#REF!</f>
        <v>#REF!</v>
      </c>
      <c r="AL11" s="29"/>
      <c r="AM11" s="29"/>
      <c r="AN11" s="37"/>
      <c r="AO11" s="37"/>
      <c r="AP11" s="37"/>
      <c r="AQ11" s="37"/>
      <c r="AR11" s="37"/>
      <c r="AS11" s="39"/>
      <c r="AT11" s="54"/>
      <c r="AY11" s="278"/>
      <c r="AZ11" s="278"/>
      <c r="BA11" s="278"/>
      <c r="BB11" s="278"/>
    </row>
    <row r="12" spans="1:54" ht="15.6" customHeight="1">
      <c r="A12" s="7">
        <v>8</v>
      </c>
      <c r="B12" s="4" t="e">
        <f>#REF!</f>
        <v>#REF!</v>
      </c>
      <c r="C12" s="4" t="e">
        <f>#REF!</f>
        <v>#REF!</v>
      </c>
      <c r="D12" s="3" t="e">
        <f>#REF!</f>
        <v>#REF!</v>
      </c>
      <c r="E12" s="3" t="e">
        <f>#REF!</f>
        <v>#REF!</v>
      </c>
      <c r="F12" s="8" t="e">
        <f>#REF!</f>
        <v>#REF!</v>
      </c>
      <c r="G12" s="67" t="e">
        <f>#REF!</f>
        <v>#REF!</v>
      </c>
      <c r="H12" s="16" t="e">
        <f>#REF!</f>
        <v>#REF!</v>
      </c>
      <c r="I12" s="68" t="e">
        <f>#REF!</f>
        <v>#REF!</v>
      </c>
      <c r="J12" s="17" t="e">
        <f>#REF!</f>
        <v>#REF!</v>
      </c>
      <c r="K12" s="3" t="e">
        <f>#REF!</f>
        <v>#REF!</v>
      </c>
      <c r="L12" s="17" t="e">
        <f>#REF!</f>
        <v>#REF!</v>
      </c>
      <c r="M12" s="3" t="e">
        <f>#REF!</f>
        <v>#REF!</v>
      </c>
      <c r="N12" s="17" t="e">
        <f>#REF!</f>
        <v>#REF!</v>
      </c>
      <c r="O12" s="3" t="e">
        <f>#REF!</f>
        <v>#REF!</v>
      </c>
      <c r="P12" s="17" t="e">
        <f>#REF!</f>
        <v>#REF!</v>
      </c>
      <c r="Q12" s="3" t="e">
        <f>#REF!</f>
        <v>#REF!</v>
      </c>
      <c r="R12" s="17" t="e">
        <f>#REF!</f>
        <v>#REF!</v>
      </c>
      <c r="S12" s="3" t="e">
        <f>#REF!</f>
        <v>#REF!</v>
      </c>
      <c r="T12" s="17" t="e">
        <f>#REF!</f>
        <v>#REF!</v>
      </c>
      <c r="U12" s="3" t="e">
        <f>#REF!</f>
        <v>#REF!</v>
      </c>
      <c r="V12" s="17" t="e">
        <f>#REF!</f>
        <v>#REF!</v>
      </c>
      <c r="W12" s="68" t="e">
        <f>#REF!</f>
        <v>#REF!</v>
      </c>
      <c r="X12" s="16" t="e">
        <f>#REF!</f>
        <v>#REF!</v>
      </c>
      <c r="Y12" s="68" t="e">
        <f>#REF!</f>
        <v>#REF!</v>
      </c>
      <c r="Z12" s="17" t="e">
        <f>#REF!</f>
        <v>#REF!</v>
      </c>
      <c r="AA12" s="3" t="e">
        <f>#REF!</f>
        <v>#REF!</v>
      </c>
      <c r="AB12" s="17" t="e">
        <f>#REF!</f>
        <v>#REF!</v>
      </c>
      <c r="AC12" s="3" t="e">
        <f>#REF!</f>
        <v>#REF!</v>
      </c>
      <c r="AD12" s="17" t="e">
        <f>#REF!</f>
        <v>#REF!</v>
      </c>
      <c r="AE12" s="17"/>
      <c r="AF12" s="29" t="e">
        <f>#REF!</f>
        <v>#REF!</v>
      </c>
      <c r="AG12" s="29" t="e">
        <f>#REF!</f>
        <v>#REF!</v>
      </c>
      <c r="AH12" s="29" t="e">
        <f>#REF!</f>
        <v>#REF!</v>
      </c>
      <c r="AI12" s="28" t="e">
        <f>#REF!</f>
        <v>#REF!</v>
      </c>
      <c r="AJ12" s="29" t="e">
        <f>#REF!</f>
        <v>#REF!</v>
      </c>
      <c r="AK12" s="29" t="e">
        <f>#REF!</f>
        <v>#REF!</v>
      </c>
      <c r="AL12" s="29"/>
      <c r="AM12" s="29"/>
      <c r="AN12" s="37"/>
      <c r="AO12" s="37"/>
      <c r="AP12" s="37"/>
      <c r="AQ12" s="37"/>
      <c r="AR12" s="37"/>
      <c r="AS12" s="39"/>
      <c r="AT12" s="54"/>
      <c r="AY12" s="278"/>
      <c r="AZ12" s="278"/>
      <c r="BA12" s="278"/>
      <c r="BB12" s="278"/>
    </row>
    <row r="13" spans="1:54" ht="15.6" customHeight="1">
      <c r="A13" s="6">
        <v>9</v>
      </c>
      <c r="B13" s="4" t="e">
        <f>#REF!</f>
        <v>#REF!</v>
      </c>
      <c r="C13" s="4" t="e">
        <f>#REF!</f>
        <v>#REF!</v>
      </c>
      <c r="D13" s="3" t="e">
        <f>#REF!</f>
        <v>#REF!</v>
      </c>
      <c r="E13" s="3" t="e">
        <f>#REF!</f>
        <v>#REF!</v>
      </c>
      <c r="F13" s="8" t="e">
        <f>#REF!</f>
        <v>#REF!</v>
      </c>
      <c r="G13" s="67" t="e">
        <f>#REF!</f>
        <v>#REF!</v>
      </c>
      <c r="H13" s="16" t="e">
        <f>#REF!</f>
        <v>#REF!</v>
      </c>
      <c r="I13" s="68" t="e">
        <f>#REF!</f>
        <v>#REF!</v>
      </c>
      <c r="J13" s="17" t="e">
        <f>#REF!</f>
        <v>#REF!</v>
      </c>
      <c r="K13" s="3" t="e">
        <f>#REF!</f>
        <v>#REF!</v>
      </c>
      <c r="L13" s="17" t="e">
        <f>#REF!</f>
        <v>#REF!</v>
      </c>
      <c r="M13" s="3" t="e">
        <f>#REF!</f>
        <v>#REF!</v>
      </c>
      <c r="N13" s="17" t="e">
        <f>#REF!</f>
        <v>#REF!</v>
      </c>
      <c r="O13" s="3" t="e">
        <f>#REF!</f>
        <v>#REF!</v>
      </c>
      <c r="P13" s="17" t="e">
        <f>#REF!</f>
        <v>#REF!</v>
      </c>
      <c r="Q13" s="3" t="e">
        <f>#REF!</f>
        <v>#REF!</v>
      </c>
      <c r="R13" s="17" t="e">
        <f>#REF!</f>
        <v>#REF!</v>
      </c>
      <c r="S13" s="3" t="e">
        <f>#REF!</f>
        <v>#REF!</v>
      </c>
      <c r="T13" s="17" t="e">
        <f>#REF!</f>
        <v>#REF!</v>
      </c>
      <c r="U13" s="3" t="e">
        <f>#REF!</f>
        <v>#REF!</v>
      </c>
      <c r="V13" s="17" t="e">
        <f>#REF!</f>
        <v>#REF!</v>
      </c>
      <c r="W13" s="68" t="e">
        <f>#REF!</f>
        <v>#REF!</v>
      </c>
      <c r="X13" s="16" t="e">
        <f>#REF!</f>
        <v>#REF!</v>
      </c>
      <c r="Y13" s="68" t="e">
        <f>#REF!</f>
        <v>#REF!</v>
      </c>
      <c r="Z13" s="17" t="e">
        <f>#REF!</f>
        <v>#REF!</v>
      </c>
      <c r="AA13" s="3" t="e">
        <f>#REF!</f>
        <v>#REF!</v>
      </c>
      <c r="AB13" s="17" t="e">
        <f>#REF!</f>
        <v>#REF!</v>
      </c>
      <c r="AC13" s="3" t="e">
        <f>#REF!</f>
        <v>#REF!</v>
      </c>
      <c r="AD13" s="17" t="e">
        <f>#REF!</f>
        <v>#REF!</v>
      </c>
      <c r="AE13" s="17"/>
      <c r="AF13" s="29" t="e">
        <f>#REF!</f>
        <v>#REF!</v>
      </c>
      <c r="AG13" s="29" t="e">
        <f>#REF!</f>
        <v>#REF!</v>
      </c>
      <c r="AH13" s="29" t="e">
        <f>#REF!</f>
        <v>#REF!</v>
      </c>
      <c r="AI13" s="28" t="e">
        <f>#REF!</f>
        <v>#REF!</v>
      </c>
      <c r="AJ13" s="29" t="e">
        <f>#REF!</f>
        <v>#REF!</v>
      </c>
      <c r="AK13" s="29" t="e">
        <f>#REF!</f>
        <v>#REF!</v>
      </c>
      <c r="AL13" s="29"/>
      <c r="AM13" s="29"/>
      <c r="AN13" s="37"/>
      <c r="AO13" s="37"/>
      <c r="AP13" s="37"/>
      <c r="AQ13" s="37"/>
      <c r="AR13" s="37"/>
      <c r="AS13" s="39"/>
      <c r="AT13" s="54"/>
      <c r="AY13" s="278"/>
      <c r="AZ13" s="278"/>
      <c r="BA13" s="278"/>
      <c r="BB13" s="278"/>
    </row>
    <row r="14" spans="1:54" ht="15.6" customHeight="1">
      <c r="A14" s="7">
        <v>10</v>
      </c>
      <c r="B14" s="4" t="e">
        <f>#REF!</f>
        <v>#REF!</v>
      </c>
      <c r="C14" s="4" t="e">
        <f>#REF!</f>
        <v>#REF!</v>
      </c>
      <c r="D14" s="3" t="e">
        <f>#REF!</f>
        <v>#REF!</v>
      </c>
      <c r="E14" s="3" t="e">
        <f>#REF!</f>
        <v>#REF!</v>
      </c>
      <c r="F14" s="8" t="e">
        <f>#REF!</f>
        <v>#REF!</v>
      </c>
      <c r="G14" s="67" t="e">
        <f>#REF!</f>
        <v>#REF!</v>
      </c>
      <c r="H14" s="16" t="e">
        <f>#REF!</f>
        <v>#REF!</v>
      </c>
      <c r="I14" s="68" t="e">
        <f>#REF!</f>
        <v>#REF!</v>
      </c>
      <c r="J14" s="17" t="e">
        <f>#REF!</f>
        <v>#REF!</v>
      </c>
      <c r="K14" s="3" t="e">
        <f>#REF!</f>
        <v>#REF!</v>
      </c>
      <c r="L14" s="17" t="e">
        <f>#REF!</f>
        <v>#REF!</v>
      </c>
      <c r="M14" s="3" t="e">
        <f>#REF!</f>
        <v>#REF!</v>
      </c>
      <c r="N14" s="17" t="e">
        <f>#REF!</f>
        <v>#REF!</v>
      </c>
      <c r="O14" s="3" t="e">
        <f>#REF!</f>
        <v>#REF!</v>
      </c>
      <c r="P14" s="17" t="e">
        <f>#REF!</f>
        <v>#REF!</v>
      </c>
      <c r="Q14" s="3" t="e">
        <f>#REF!</f>
        <v>#REF!</v>
      </c>
      <c r="R14" s="17" t="e">
        <f>#REF!</f>
        <v>#REF!</v>
      </c>
      <c r="S14" s="3" t="e">
        <f>#REF!</f>
        <v>#REF!</v>
      </c>
      <c r="T14" s="17" t="e">
        <f>#REF!</f>
        <v>#REF!</v>
      </c>
      <c r="U14" s="3" t="e">
        <f>#REF!</f>
        <v>#REF!</v>
      </c>
      <c r="V14" s="17" t="e">
        <f>#REF!</f>
        <v>#REF!</v>
      </c>
      <c r="W14" s="68" t="e">
        <f>#REF!</f>
        <v>#REF!</v>
      </c>
      <c r="X14" s="16" t="e">
        <f>#REF!</f>
        <v>#REF!</v>
      </c>
      <c r="Y14" s="68" t="e">
        <f>#REF!</f>
        <v>#REF!</v>
      </c>
      <c r="Z14" s="17" t="e">
        <f>#REF!</f>
        <v>#REF!</v>
      </c>
      <c r="AA14" s="3" t="e">
        <f>#REF!</f>
        <v>#REF!</v>
      </c>
      <c r="AB14" s="17" t="e">
        <f>#REF!</f>
        <v>#REF!</v>
      </c>
      <c r="AC14" s="3" t="e">
        <f>#REF!</f>
        <v>#REF!</v>
      </c>
      <c r="AD14" s="17" t="e">
        <f>#REF!</f>
        <v>#REF!</v>
      </c>
      <c r="AE14" s="17"/>
      <c r="AF14" s="29" t="e">
        <f>#REF!</f>
        <v>#REF!</v>
      </c>
      <c r="AG14" s="29" t="e">
        <f>#REF!</f>
        <v>#REF!</v>
      </c>
      <c r="AH14" s="29" t="e">
        <f>#REF!</f>
        <v>#REF!</v>
      </c>
      <c r="AI14" s="28" t="e">
        <f>#REF!</f>
        <v>#REF!</v>
      </c>
      <c r="AJ14" s="29" t="e">
        <f>#REF!</f>
        <v>#REF!</v>
      </c>
      <c r="AK14" s="29" t="e">
        <f>#REF!</f>
        <v>#REF!</v>
      </c>
      <c r="AL14" s="29"/>
      <c r="AM14" s="29"/>
      <c r="AN14" s="37"/>
      <c r="AO14" s="37"/>
      <c r="AP14" s="37"/>
      <c r="AQ14" s="37"/>
      <c r="AR14" s="37"/>
      <c r="AS14" s="39"/>
      <c r="AT14" s="54"/>
      <c r="AY14" s="278"/>
      <c r="AZ14" s="278"/>
      <c r="BA14" s="278"/>
      <c r="BB14" s="278"/>
    </row>
    <row r="15" spans="1:54" ht="15.6" customHeight="1">
      <c r="A15" s="6">
        <v>11</v>
      </c>
      <c r="B15" s="4" t="e">
        <f>#REF!</f>
        <v>#REF!</v>
      </c>
      <c r="C15" s="4" t="e">
        <f>#REF!</f>
        <v>#REF!</v>
      </c>
      <c r="D15" s="3" t="e">
        <f>#REF!</f>
        <v>#REF!</v>
      </c>
      <c r="E15" s="3" t="e">
        <f>#REF!</f>
        <v>#REF!</v>
      </c>
      <c r="F15" s="8" t="e">
        <f>#REF!</f>
        <v>#REF!</v>
      </c>
      <c r="G15" s="67" t="e">
        <f>#REF!</f>
        <v>#REF!</v>
      </c>
      <c r="H15" s="16" t="e">
        <f>#REF!</f>
        <v>#REF!</v>
      </c>
      <c r="I15" s="68" t="e">
        <f>#REF!</f>
        <v>#REF!</v>
      </c>
      <c r="J15" s="17" t="e">
        <f>#REF!</f>
        <v>#REF!</v>
      </c>
      <c r="K15" s="3" t="e">
        <f>#REF!</f>
        <v>#REF!</v>
      </c>
      <c r="L15" s="17" t="e">
        <f>#REF!</f>
        <v>#REF!</v>
      </c>
      <c r="M15" s="3" t="e">
        <f>#REF!</f>
        <v>#REF!</v>
      </c>
      <c r="N15" s="17" t="e">
        <f>#REF!</f>
        <v>#REF!</v>
      </c>
      <c r="O15" s="3" t="e">
        <f>#REF!</f>
        <v>#REF!</v>
      </c>
      <c r="P15" s="17" t="e">
        <f>#REF!</f>
        <v>#REF!</v>
      </c>
      <c r="Q15" s="3" t="e">
        <f>#REF!</f>
        <v>#REF!</v>
      </c>
      <c r="R15" s="17" t="e">
        <f>#REF!</f>
        <v>#REF!</v>
      </c>
      <c r="S15" s="3" t="e">
        <f>#REF!</f>
        <v>#REF!</v>
      </c>
      <c r="T15" s="17" t="e">
        <f>#REF!</f>
        <v>#REF!</v>
      </c>
      <c r="U15" s="3" t="e">
        <f>#REF!</f>
        <v>#REF!</v>
      </c>
      <c r="V15" s="17" t="e">
        <f>#REF!</f>
        <v>#REF!</v>
      </c>
      <c r="W15" s="68" t="e">
        <f>#REF!</f>
        <v>#REF!</v>
      </c>
      <c r="X15" s="16" t="e">
        <f>#REF!</f>
        <v>#REF!</v>
      </c>
      <c r="Y15" s="68" t="e">
        <f>#REF!</f>
        <v>#REF!</v>
      </c>
      <c r="Z15" s="17" t="e">
        <f>#REF!</f>
        <v>#REF!</v>
      </c>
      <c r="AA15" s="3" t="e">
        <f>#REF!</f>
        <v>#REF!</v>
      </c>
      <c r="AB15" s="17" t="e">
        <f>#REF!</f>
        <v>#REF!</v>
      </c>
      <c r="AC15" s="3" t="e">
        <f>#REF!</f>
        <v>#REF!</v>
      </c>
      <c r="AD15" s="17" t="e">
        <f>#REF!</f>
        <v>#REF!</v>
      </c>
      <c r="AE15" s="17"/>
      <c r="AF15" s="29" t="e">
        <f>#REF!</f>
        <v>#REF!</v>
      </c>
      <c r="AG15" s="29" t="e">
        <f>#REF!</f>
        <v>#REF!</v>
      </c>
      <c r="AH15" s="29" t="e">
        <f>#REF!</f>
        <v>#REF!</v>
      </c>
      <c r="AI15" s="28" t="e">
        <f>#REF!</f>
        <v>#REF!</v>
      </c>
      <c r="AJ15" s="29" t="e">
        <f>#REF!</f>
        <v>#REF!</v>
      </c>
      <c r="AK15" s="29" t="e">
        <f>#REF!</f>
        <v>#REF!</v>
      </c>
      <c r="AL15" s="29"/>
      <c r="AM15" s="29"/>
      <c r="AN15" s="37"/>
      <c r="AO15" s="37"/>
      <c r="AP15" s="37"/>
      <c r="AQ15" s="37"/>
      <c r="AR15" s="37"/>
      <c r="AS15" s="39"/>
      <c r="AT15" s="54"/>
      <c r="AY15" s="278"/>
      <c r="AZ15" s="278"/>
      <c r="BA15" s="278"/>
      <c r="BB15" s="278"/>
    </row>
    <row r="16" spans="1:54" ht="15.6" customHeight="1">
      <c r="A16" s="7">
        <v>12</v>
      </c>
      <c r="B16" s="4" t="e">
        <f>#REF!</f>
        <v>#REF!</v>
      </c>
      <c r="C16" s="4" t="e">
        <f>#REF!</f>
        <v>#REF!</v>
      </c>
      <c r="D16" s="3" t="e">
        <f>#REF!</f>
        <v>#REF!</v>
      </c>
      <c r="E16" s="3" t="e">
        <f>#REF!</f>
        <v>#REF!</v>
      </c>
      <c r="F16" s="8" t="e">
        <f>#REF!</f>
        <v>#REF!</v>
      </c>
      <c r="G16" s="67" t="e">
        <f>#REF!</f>
        <v>#REF!</v>
      </c>
      <c r="H16" s="16" t="e">
        <f>#REF!</f>
        <v>#REF!</v>
      </c>
      <c r="I16" s="68" t="e">
        <f>#REF!</f>
        <v>#REF!</v>
      </c>
      <c r="J16" s="17" t="e">
        <f>#REF!</f>
        <v>#REF!</v>
      </c>
      <c r="K16" s="3" t="e">
        <f>#REF!</f>
        <v>#REF!</v>
      </c>
      <c r="L16" s="17" t="e">
        <f>#REF!</f>
        <v>#REF!</v>
      </c>
      <c r="M16" s="3" t="e">
        <f>#REF!</f>
        <v>#REF!</v>
      </c>
      <c r="N16" s="17" t="e">
        <f>#REF!</f>
        <v>#REF!</v>
      </c>
      <c r="O16" s="3" t="e">
        <f>#REF!</f>
        <v>#REF!</v>
      </c>
      <c r="P16" s="17" t="e">
        <f>#REF!</f>
        <v>#REF!</v>
      </c>
      <c r="Q16" s="3" t="e">
        <f>#REF!</f>
        <v>#REF!</v>
      </c>
      <c r="R16" s="17" t="e">
        <f>#REF!</f>
        <v>#REF!</v>
      </c>
      <c r="S16" s="3" t="e">
        <f>#REF!</f>
        <v>#REF!</v>
      </c>
      <c r="T16" s="17" t="e">
        <f>#REF!</f>
        <v>#REF!</v>
      </c>
      <c r="U16" s="3" t="e">
        <f>#REF!</f>
        <v>#REF!</v>
      </c>
      <c r="V16" s="17" t="e">
        <f>#REF!</f>
        <v>#REF!</v>
      </c>
      <c r="W16" s="68" t="e">
        <f>#REF!</f>
        <v>#REF!</v>
      </c>
      <c r="X16" s="16" t="e">
        <f>#REF!</f>
        <v>#REF!</v>
      </c>
      <c r="Y16" s="68" t="e">
        <f>#REF!</f>
        <v>#REF!</v>
      </c>
      <c r="Z16" s="17" t="e">
        <f>#REF!</f>
        <v>#REF!</v>
      </c>
      <c r="AA16" s="3" t="e">
        <f>#REF!</f>
        <v>#REF!</v>
      </c>
      <c r="AB16" s="17" t="e">
        <f>#REF!</f>
        <v>#REF!</v>
      </c>
      <c r="AC16" s="3" t="e">
        <f>#REF!</f>
        <v>#REF!</v>
      </c>
      <c r="AD16" s="17" t="e">
        <f>#REF!</f>
        <v>#REF!</v>
      </c>
      <c r="AE16" s="17"/>
      <c r="AF16" s="29" t="e">
        <f>#REF!</f>
        <v>#REF!</v>
      </c>
      <c r="AG16" s="29" t="e">
        <f>#REF!</f>
        <v>#REF!</v>
      </c>
      <c r="AH16" s="29" t="e">
        <f>#REF!</f>
        <v>#REF!</v>
      </c>
      <c r="AI16" s="28" t="e">
        <f>#REF!</f>
        <v>#REF!</v>
      </c>
      <c r="AJ16" s="29" t="e">
        <f>#REF!</f>
        <v>#REF!</v>
      </c>
      <c r="AK16" s="29" t="e">
        <f>#REF!</f>
        <v>#REF!</v>
      </c>
      <c r="AL16" s="29"/>
      <c r="AM16" s="29"/>
      <c r="AN16" s="37"/>
      <c r="AO16" s="37"/>
      <c r="AP16" s="37"/>
      <c r="AQ16" s="37"/>
      <c r="AR16" s="37"/>
      <c r="AS16" s="39"/>
      <c r="AT16" s="54"/>
      <c r="AY16" s="278"/>
      <c r="AZ16" s="278"/>
      <c r="BA16" s="278"/>
      <c r="BB16" s="278"/>
    </row>
    <row r="17" spans="1:54" ht="15.6" customHeight="1">
      <c r="A17" s="6">
        <v>13</v>
      </c>
      <c r="B17" s="4" t="e">
        <f>#REF!</f>
        <v>#REF!</v>
      </c>
      <c r="C17" s="4" t="e">
        <f>#REF!</f>
        <v>#REF!</v>
      </c>
      <c r="D17" s="3" t="e">
        <f>#REF!</f>
        <v>#REF!</v>
      </c>
      <c r="E17" s="3" t="e">
        <f>#REF!</f>
        <v>#REF!</v>
      </c>
      <c r="F17" s="8" t="e">
        <f>#REF!</f>
        <v>#REF!</v>
      </c>
      <c r="G17" s="67" t="e">
        <f>#REF!</f>
        <v>#REF!</v>
      </c>
      <c r="H17" s="16" t="e">
        <f>#REF!</f>
        <v>#REF!</v>
      </c>
      <c r="I17" s="68" t="e">
        <f>#REF!</f>
        <v>#REF!</v>
      </c>
      <c r="J17" s="17" t="e">
        <f>#REF!</f>
        <v>#REF!</v>
      </c>
      <c r="K17" s="3" t="e">
        <f>#REF!</f>
        <v>#REF!</v>
      </c>
      <c r="L17" s="17" t="e">
        <f>#REF!</f>
        <v>#REF!</v>
      </c>
      <c r="M17" s="3" t="e">
        <f>#REF!</f>
        <v>#REF!</v>
      </c>
      <c r="N17" s="17" t="e">
        <f>#REF!</f>
        <v>#REF!</v>
      </c>
      <c r="O17" s="3" t="e">
        <f>#REF!</f>
        <v>#REF!</v>
      </c>
      <c r="P17" s="17" t="e">
        <f>#REF!</f>
        <v>#REF!</v>
      </c>
      <c r="Q17" s="3" t="e">
        <f>#REF!</f>
        <v>#REF!</v>
      </c>
      <c r="R17" s="17" t="e">
        <f>#REF!</f>
        <v>#REF!</v>
      </c>
      <c r="S17" s="3" t="e">
        <f>#REF!</f>
        <v>#REF!</v>
      </c>
      <c r="T17" s="17" t="e">
        <f>#REF!</f>
        <v>#REF!</v>
      </c>
      <c r="U17" s="3" t="e">
        <f>#REF!</f>
        <v>#REF!</v>
      </c>
      <c r="V17" s="17" t="e">
        <f>#REF!</f>
        <v>#REF!</v>
      </c>
      <c r="W17" s="68" t="e">
        <f>#REF!</f>
        <v>#REF!</v>
      </c>
      <c r="X17" s="16" t="e">
        <f>#REF!</f>
        <v>#REF!</v>
      </c>
      <c r="Y17" s="68" t="e">
        <f>#REF!</f>
        <v>#REF!</v>
      </c>
      <c r="Z17" s="17" t="e">
        <f>#REF!</f>
        <v>#REF!</v>
      </c>
      <c r="AA17" s="3" t="e">
        <f>#REF!</f>
        <v>#REF!</v>
      </c>
      <c r="AB17" s="17" t="e">
        <f>#REF!</f>
        <v>#REF!</v>
      </c>
      <c r="AC17" s="3" t="e">
        <f>#REF!</f>
        <v>#REF!</v>
      </c>
      <c r="AD17" s="17" t="e">
        <f>#REF!</f>
        <v>#REF!</v>
      </c>
      <c r="AE17" s="17"/>
      <c r="AF17" s="29" t="e">
        <f>#REF!</f>
        <v>#REF!</v>
      </c>
      <c r="AG17" s="29" t="e">
        <f>#REF!</f>
        <v>#REF!</v>
      </c>
      <c r="AH17" s="29" t="e">
        <f>#REF!</f>
        <v>#REF!</v>
      </c>
      <c r="AI17" s="28" t="e">
        <f>#REF!</f>
        <v>#REF!</v>
      </c>
      <c r="AJ17" s="29" t="e">
        <f>#REF!</f>
        <v>#REF!</v>
      </c>
      <c r="AK17" s="29" t="e">
        <f>#REF!</f>
        <v>#REF!</v>
      </c>
      <c r="AL17" s="29"/>
      <c r="AM17" s="29"/>
      <c r="AN17" s="37"/>
      <c r="AO17" s="37"/>
      <c r="AP17" s="37"/>
      <c r="AQ17" s="37"/>
      <c r="AR17" s="37"/>
      <c r="AS17" s="39"/>
      <c r="AT17" s="54"/>
      <c r="AY17" s="278"/>
      <c r="AZ17" s="278"/>
      <c r="BA17" s="278"/>
      <c r="BB17" s="278"/>
    </row>
    <row r="18" spans="1:54" ht="15.6" customHeight="1">
      <c r="A18" s="7">
        <v>14</v>
      </c>
      <c r="B18" s="4" t="e">
        <f>#REF!</f>
        <v>#REF!</v>
      </c>
      <c r="C18" s="4" t="e">
        <f>#REF!</f>
        <v>#REF!</v>
      </c>
      <c r="D18" s="3" t="e">
        <f>#REF!</f>
        <v>#REF!</v>
      </c>
      <c r="E18" s="3" t="e">
        <f>#REF!</f>
        <v>#REF!</v>
      </c>
      <c r="F18" s="8" t="e">
        <f>#REF!</f>
        <v>#REF!</v>
      </c>
      <c r="G18" s="67" t="e">
        <f>#REF!</f>
        <v>#REF!</v>
      </c>
      <c r="H18" s="16" t="e">
        <f>#REF!</f>
        <v>#REF!</v>
      </c>
      <c r="I18" s="68" t="e">
        <f>#REF!</f>
        <v>#REF!</v>
      </c>
      <c r="J18" s="17" t="e">
        <f>#REF!</f>
        <v>#REF!</v>
      </c>
      <c r="K18" s="3" t="e">
        <f>#REF!</f>
        <v>#REF!</v>
      </c>
      <c r="L18" s="17" t="e">
        <f>#REF!</f>
        <v>#REF!</v>
      </c>
      <c r="M18" s="3" t="e">
        <f>#REF!</f>
        <v>#REF!</v>
      </c>
      <c r="N18" s="17" t="e">
        <f>#REF!</f>
        <v>#REF!</v>
      </c>
      <c r="O18" s="3" t="e">
        <f>#REF!</f>
        <v>#REF!</v>
      </c>
      <c r="P18" s="17" t="e">
        <f>#REF!</f>
        <v>#REF!</v>
      </c>
      <c r="Q18" s="3" t="e">
        <f>#REF!</f>
        <v>#REF!</v>
      </c>
      <c r="R18" s="17" t="e">
        <f>#REF!</f>
        <v>#REF!</v>
      </c>
      <c r="S18" s="3" t="e">
        <f>#REF!</f>
        <v>#REF!</v>
      </c>
      <c r="T18" s="17" t="e">
        <f>#REF!</f>
        <v>#REF!</v>
      </c>
      <c r="U18" s="3" t="e">
        <f>#REF!</f>
        <v>#REF!</v>
      </c>
      <c r="V18" s="17" t="e">
        <f>#REF!</f>
        <v>#REF!</v>
      </c>
      <c r="W18" s="68" t="e">
        <f>#REF!</f>
        <v>#REF!</v>
      </c>
      <c r="X18" s="16" t="e">
        <f>#REF!</f>
        <v>#REF!</v>
      </c>
      <c r="Y18" s="68" t="e">
        <f>#REF!</f>
        <v>#REF!</v>
      </c>
      <c r="Z18" s="17" t="e">
        <f>#REF!</f>
        <v>#REF!</v>
      </c>
      <c r="AA18" s="3" t="e">
        <f>#REF!</f>
        <v>#REF!</v>
      </c>
      <c r="AB18" s="17" t="e">
        <f>#REF!</f>
        <v>#REF!</v>
      </c>
      <c r="AC18" s="3" t="e">
        <f>#REF!</f>
        <v>#REF!</v>
      </c>
      <c r="AD18" s="17" t="e">
        <f>#REF!</f>
        <v>#REF!</v>
      </c>
      <c r="AE18" s="17"/>
      <c r="AF18" s="29" t="e">
        <f>#REF!</f>
        <v>#REF!</v>
      </c>
      <c r="AG18" s="29" t="e">
        <f>#REF!</f>
        <v>#REF!</v>
      </c>
      <c r="AH18" s="29" t="e">
        <f>#REF!</f>
        <v>#REF!</v>
      </c>
      <c r="AI18" s="28" t="e">
        <f>#REF!</f>
        <v>#REF!</v>
      </c>
      <c r="AJ18" s="29" t="e">
        <f>#REF!</f>
        <v>#REF!</v>
      </c>
      <c r="AK18" s="29" t="e">
        <f>#REF!</f>
        <v>#REF!</v>
      </c>
      <c r="AL18" s="29"/>
      <c r="AM18" s="29"/>
      <c r="AN18" s="37"/>
      <c r="AO18" s="37"/>
      <c r="AP18" s="37"/>
      <c r="AQ18" s="37"/>
      <c r="AR18" s="37"/>
      <c r="AS18" s="39"/>
      <c r="AT18" s="54"/>
      <c r="AY18" s="278"/>
      <c r="AZ18" s="278"/>
      <c r="BA18" s="278"/>
      <c r="BB18" s="278"/>
    </row>
    <row r="19" spans="1:54" ht="15.6" customHeight="1">
      <c r="A19" s="6">
        <v>15</v>
      </c>
      <c r="B19" s="4" t="e">
        <f>#REF!</f>
        <v>#REF!</v>
      </c>
      <c r="C19" s="4" t="e">
        <f>#REF!</f>
        <v>#REF!</v>
      </c>
      <c r="D19" s="3" t="e">
        <f>#REF!</f>
        <v>#REF!</v>
      </c>
      <c r="E19" s="3" t="e">
        <f>#REF!</f>
        <v>#REF!</v>
      </c>
      <c r="F19" s="8" t="e">
        <f>#REF!</f>
        <v>#REF!</v>
      </c>
      <c r="G19" s="67" t="e">
        <f>#REF!</f>
        <v>#REF!</v>
      </c>
      <c r="H19" s="16" t="e">
        <f>#REF!</f>
        <v>#REF!</v>
      </c>
      <c r="I19" s="68" t="e">
        <f>#REF!</f>
        <v>#REF!</v>
      </c>
      <c r="J19" s="17" t="e">
        <f>#REF!</f>
        <v>#REF!</v>
      </c>
      <c r="K19" s="3" t="e">
        <f>#REF!</f>
        <v>#REF!</v>
      </c>
      <c r="L19" s="17" t="e">
        <f>#REF!</f>
        <v>#REF!</v>
      </c>
      <c r="M19" s="3" t="e">
        <f>#REF!</f>
        <v>#REF!</v>
      </c>
      <c r="N19" s="17" t="e">
        <f>#REF!</f>
        <v>#REF!</v>
      </c>
      <c r="O19" s="3" t="e">
        <f>#REF!</f>
        <v>#REF!</v>
      </c>
      <c r="P19" s="17" t="e">
        <f>#REF!</f>
        <v>#REF!</v>
      </c>
      <c r="Q19" s="3" t="e">
        <f>#REF!</f>
        <v>#REF!</v>
      </c>
      <c r="R19" s="17" t="e">
        <f>#REF!</f>
        <v>#REF!</v>
      </c>
      <c r="S19" s="3" t="e">
        <f>#REF!</f>
        <v>#REF!</v>
      </c>
      <c r="T19" s="17" t="e">
        <f>#REF!</f>
        <v>#REF!</v>
      </c>
      <c r="U19" s="3" t="e">
        <f>#REF!</f>
        <v>#REF!</v>
      </c>
      <c r="V19" s="17" t="e">
        <f>#REF!</f>
        <v>#REF!</v>
      </c>
      <c r="W19" s="68" t="e">
        <f>#REF!</f>
        <v>#REF!</v>
      </c>
      <c r="X19" s="16" t="e">
        <f>#REF!</f>
        <v>#REF!</v>
      </c>
      <c r="Y19" s="68" t="e">
        <f>#REF!</f>
        <v>#REF!</v>
      </c>
      <c r="Z19" s="17" t="e">
        <f>#REF!</f>
        <v>#REF!</v>
      </c>
      <c r="AA19" s="3" t="e">
        <f>#REF!</f>
        <v>#REF!</v>
      </c>
      <c r="AB19" s="17" t="e">
        <f>#REF!</f>
        <v>#REF!</v>
      </c>
      <c r="AC19" s="3" t="e">
        <f>#REF!</f>
        <v>#REF!</v>
      </c>
      <c r="AD19" s="17" t="e">
        <f>#REF!</f>
        <v>#REF!</v>
      </c>
      <c r="AE19" s="17"/>
      <c r="AF19" s="29" t="e">
        <f>#REF!</f>
        <v>#REF!</v>
      </c>
      <c r="AG19" s="29" t="e">
        <f>#REF!</f>
        <v>#REF!</v>
      </c>
      <c r="AH19" s="29" t="e">
        <f>#REF!</f>
        <v>#REF!</v>
      </c>
      <c r="AI19" s="28" t="e">
        <f>#REF!</f>
        <v>#REF!</v>
      </c>
      <c r="AJ19" s="29" t="e">
        <f>#REF!</f>
        <v>#REF!</v>
      </c>
      <c r="AK19" s="29" t="e">
        <f>#REF!</f>
        <v>#REF!</v>
      </c>
      <c r="AL19" s="29"/>
      <c r="AM19" s="29"/>
      <c r="AN19" s="37"/>
      <c r="AO19" s="37"/>
      <c r="AP19" s="37"/>
      <c r="AQ19" s="37"/>
      <c r="AR19" s="37"/>
      <c r="AS19" s="39"/>
      <c r="AT19" s="54"/>
      <c r="AY19" s="278"/>
      <c r="AZ19" s="278"/>
      <c r="BA19" s="278"/>
      <c r="BB19" s="278"/>
    </row>
    <row r="20" spans="1:54" ht="15.6" customHeight="1">
      <c r="A20" s="7">
        <v>16</v>
      </c>
      <c r="B20" s="4" t="e">
        <f>#REF!</f>
        <v>#REF!</v>
      </c>
      <c r="C20" s="4" t="e">
        <f>#REF!</f>
        <v>#REF!</v>
      </c>
      <c r="D20" s="3" t="e">
        <f>#REF!</f>
        <v>#REF!</v>
      </c>
      <c r="E20" s="3" t="e">
        <f>#REF!</f>
        <v>#REF!</v>
      </c>
      <c r="F20" s="8" t="e">
        <f>#REF!</f>
        <v>#REF!</v>
      </c>
      <c r="G20" s="67" t="e">
        <f>#REF!</f>
        <v>#REF!</v>
      </c>
      <c r="H20" s="16" t="e">
        <f>#REF!</f>
        <v>#REF!</v>
      </c>
      <c r="I20" s="68" t="e">
        <f>#REF!</f>
        <v>#REF!</v>
      </c>
      <c r="J20" s="17" t="e">
        <f>#REF!</f>
        <v>#REF!</v>
      </c>
      <c r="K20" s="3" t="e">
        <f>#REF!</f>
        <v>#REF!</v>
      </c>
      <c r="L20" s="17" t="e">
        <f>#REF!</f>
        <v>#REF!</v>
      </c>
      <c r="M20" s="3" t="e">
        <f>#REF!</f>
        <v>#REF!</v>
      </c>
      <c r="N20" s="17" t="e">
        <f>#REF!</f>
        <v>#REF!</v>
      </c>
      <c r="O20" s="3" t="e">
        <f>#REF!</f>
        <v>#REF!</v>
      </c>
      <c r="P20" s="17" t="e">
        <f>#REF!</f>
        <v>#REF!</v>
      </c>
      <c r="Q20" s="3" t="e">
        <f>#REF!</f>
        <v>#REF!</v>
      </c>
      <c r="R20" s="17" t="e">
        <f>#REF!</f>
        <v>#REF!</v>
      </c>
      <c r="S20" s="3" t="e">
        <f>#REF!</f>
        <v>#REF!</v>
      </c>
      <c r="T20" s="17" t="e">
        <f>#REF!</f>
        <v>#REF!</v>
      </c>
      <c r="U20" s="3" t="e">
        <f>#REF!</f>
        <v>#REF!</v>
      </c>
      <c r="V20" s="17" t="e">
        <f>#REF!</f>
        <v>#REF!</v>
      </c>
      <c r="W20" s="68" t="e">
        <f>#REF!</f>
        <v>#REF!</v>
      </c>
      <c r="X20" s="16" t="e">
        <f>#REF!</f>
        <v>#REF!</v>
      </c>
      <c r="Y20" s="68" t="e">
        <f>#REF!</f>
        <v>#REF!</v>
      </c>
      <c r="Z20" s="17" t="e">
        <f>#REF!</f>
        <v>#REF!</v>
      </c>
      <c r="AA20" s="3" t="e">
        <f>#REF!</f>
        <v>#REF!</v>
      </c>
      <c r="AB20" s="17" t="e">
        <f>#REF!</f>
        <v>#REF!</v>
      </c>
      <c r="AC20" s="3" t="e">
        <f>#REF!</f>
        <v>#REF!</v>
      </c>
      <c r="AD20" s="17" t="e">
        <f>#REF!</f>
        <v>#REF!</v>
      </c>
      <c r="AE20" s="17"/>
      <c r="AF20" s="29" t="e">
        <f>#REF!</f>
        <v>#REF!</v>
      </c>
      <c r="AG20" s="29" t="e">
        <f>#REF!</f>
        <v>#REF!</v>
      </c>
      <c r="AH20" s="29" t="e">
        <f>#REF!</f>
        <v>#REF!</v>
      </c>
      <c r="AI20" s="28" t="e">
        <f>#REF!</f>
        <v>#REF!</v>
      </c>
      <c r="AJ20" s="29" t="e">
        <f>#REF!</f>
        <v>#REF!</v>
      </c>
      <c r="AK20" s="29" t="e">
        <f>#REF!</f>
        <v>#REF!</v>
      </c>
      <c r="AL20" s="29"/>
      <c r="AM20" s="29"/>
      <c r="AN20" s="37"/>
      <c r="AO20" s="37"/>
      <c r="AP20" s="37"/>
      <c r="AQ20" s="37"/>
      <c r="AR20" s="37"/>
      <c r="AS20" s="39"/>
      <c r="AT20" s="54"/>
      <c r="AY20" s="278"/>
      <c r="AZ20" s="278"/>
      <c r="BA20" s="278"/>
      <c r="BB20" s="278"/>
    </row>
    <row r="21" spans="1:54" ht="15.6" customHeight="1">
      <c r="A21" s="6">
        <v>17</v>
      </c>
      <c r="B21" s="4" t="e">
        <f>#REF!</f>
        <v>#REF!</v>
      </c>
      <c r="C21" s="4" t="e">
        <f>#REF!</f>
        <v>#REF!</v>
      </c>
      <c r="D21" s="3" t="e">
        <f>#REF!</f>
        <v>#REF!</v>
      </c>
      <c r="E21" s="3" t="e">
        <f>#REF!</f>
        <v>#REF!</v>
      </c>
      <c r="F21" s="8" t="e">
        <f>#REF!</f>
        <v>#REF!</v>
      </c>
      <c r="G21" s="67" t="e">
        <f>#REF!</f>
        <v>#REF!</v>
      </c>
      <c r="H21" s="16" t="e">
        <f>#REF!</f>
        <v>#REF!</v>
      </c>
      <c r="I21" s="68" t="e">
        <f>#REF!</f>
        <v>#REF!</v>
      </c>
      <c r="J21" s="17" t="e">
        <f>#REF!</f>
        <v>#REF!</v>
      </c>
      <c r="K21" s="3" t="e">
        <f>#REF!</f>
        <v>#REF!</v>
      </c>
      <c r="L21" s="17" t="e">
        <f>#REF!</f>
        <v>#REF!</v>
      </c>
      <c r="M21" s="3" t="e">
        <f>#REF!</f>
        <v>#REF!</v>
      </c>
      <c r="N21" s="17" t="e">
        <f>#REF!</f>
        <v>#REF!</v>
      </c>
      <c r="O21" s="3" t="e">
        <f>#REF!</f>
        <v>#REF!</v>
      </c>
      <c r="P21" s="17" t="e">
        <f>#REF!</f>
        <v>#REF!</v>
      </c>
      <c r="Q21" s="3" t="e">
        <f>#REF!</f>
        <v>#REF!</v>
      </c>
      <c r="R21" s="17" t="e">
        <f>#REF!</f>
        <v>#REF!</v>
      </c>
      <c r="S21" s="3" t="e">
        <f>#REF!</f>
        <v>#REF!</v>
      </c>
      <c r="T21" s="17" t="e">
        <f>#REF!</f>
        <v>#REF!</v>
      </c>
      <c r="U21" s="3" t="e">
        <f>#REF!</f>
        <v>#REF!</v>
      </c>
      <c r="V21" s="17" t="e">
        <f>#REF!</f>
        <v>#REF!</v>
      </c>
      <c r="W21" s="68" t="e">
        <f>#REF!</f>
        <v>#REF!</v>
      </c>
      <c r="X21" s="16" t="e">
        <f>#REF!</f>
        <v>#REF!</v>
      </c>
      <c r="Y21" s="68" t="e">
        <f>#REF!</f>
        <v>#REF!</v>
      </c>
      <c r="Z21" s="17" t="e">
        <f>#REF!</f>
        <v>#REF!</v>
      </c>
      <c r="AA21" s="3" t="e">
        <f>#REF!</f>
        <v>#REF!</v>
      </c>
      <c r="AB21" s="17" t="e">
        <f>#REF!</f>
        <v>#REF!</v>
      </c>
      <c r="AC21" s="3" t="e">
        <f>#REF!</f>
        <v>#REF!</v>
      </c>
      <c r="AD21" s="17" t="e">
        <f>#REF!</f>
        <v>#REF!</v>
      </c>
      <c r="AE21" s="17"/>
      <c r="AF21" s="29" t="e">
        <f>#REF!</f>
        <v>#REF!</v>
      </c>
      <c r="AG21" s="29" t="e">
        <f>#REF!</f>
        <v>#REF!</v>
      </c>
      <c r="AH21" s="29" t="e">
        <f>#REF!</f>
        <v>#REF!</v>
      </c>
      <c r="AI21" s="28" t="e">
        <f>#REF!</f>
        <v>#REF!</v>
      </c>
      <c r="AJ21" s="29" t="e">
        <f>#REF!</f>
        <v>#REF!</v>
      </c>
      <c r="AK21" s="29" t="e">
        <f>#REF!</f>
        <v>#REF!</v>
      </c>
      <c r="AL21" s="29"/>
      <c r="AM21" s="29"/>
      <c r="AN21" s="37"/>
      <c r="AO21" s="37"/>
      <c r="AP21" s="37"/>
      <c r="AQ21" s="37"/>
      <c r="AR21" s="37"/>
      <c r="AS21" s="39"/>
      <c r="AT21" s="54"/>
      <c r="AY21" s="278"/>
      <c r="AZ21" s="278"/>
      <c r="BA21" s="278"/>
      <c r="BB21" s="278"/>
    </row>
    <row r="22" spans="1:54" ht="15.6" customHeight="1">
      <c r="A22" s="7">
        <v>18</v>
      </c>
      <c r="B22" s="4" t="e">
        <f>#REF!</f>
        <v>#REF!</v>
      </c>
      <c r="C22" s="4" t="e">
        <f>#REF!</f>
        <v>#REF!</v>
      </c>
      <c r="D22" s="3" t="e">
        <f>#REF!</f>
        <v>#REF!</v>
      </c>
      <c r="E22" s="3" t="e">
        <f>#REF!</f>
        <v>#REF!</v>
      </c>
      <c r="F22" s="8" t="e">
        <f>#REF!</f>
        <v>#REF!</v>
      </c>
      <c r="G22" s="67" t="e">
        <f>#REF!</f>
        <v>#REF!</v>
      </c>
      <c r="H22" s="16" t="e">
        <f>#REF!</f>
        <v>#REF!</v>
      </c>
      <c r="I22" s="68" t="e">
        <f>#REF!</f>
        <v>#REF!</v>
      </c>
      <c r="J22" s="17" t="e">
        <f>#REF!</f>
        <v>#REF!</v>
      </c>
      <c r="K22" s="3" t="e">
        <f>#REF!</f>
        <v>#REF!</v>
      </c>
      <c r="L22" s="17" t="e">
        <f>#REF!</f>
        <v>#REF!</v>
      </c>
      <c r="M22" s="3" t="e">
        <f>#REF!</f>
        <v>#REF!</v>
      </c>
      <c r="N22" s="17" t="e">
        <f>#REF!</f>
        <v>#REF!</v>
      </c>
      <c r="O22" s="3" t="e">
        <f>#REF!</f>
        <v>#REF!</v>
      </c>
      <c r="P22" s="17" t="e">
        <f>#REF!</f>
        <v>#REF!</v>
      </c>
      <c r="Q22" s="3" t="e">
        <f>#REF!</f>
        <v>#REF!</v>
      </c>
      <c r="R22" s="17" t="e">
        <f>#REF!</f>
        <v>#REF!</v>
      </c>
      <c r="S22" s="3" t="e">
        <f>#REF!</f>
        <v>#REF!</v>
      </c>
      <c r="T22" s="17" t="e">
        <f>#REF!</f>
        <v>#REF!</v>
      </c>
      <c r="U22" s="3" t="e">
        <f>#REF!</f>
        <v>#REF!</v>
      </c>
      <c r="V22" s="17" t="e">
        <f>#REF!</f>
        <v>#REF!</v>
      </c>
      <c r="W22" s="68" t="e">
        <f>#REF!</f>
        <v>#REF!</v>
      </c>
      <c r="X22" s="16" t="e">
        <f>#REF!</f>
        <v>#REF!</v>
      </c>
      <c r="Y22" s="68" t="e">
        <f>#REF!</f>
        <v>#REF!</v>
      </c>
      <c r="Z22" s="17" t="e">
        <f>#REF!</f>
        <v>#REF!</v>
      </c>
      <c r="AA22" s="3" t="e">
        <f>#REF!</f>
        <v>#REF!</v>
      </c>
      <c r="AB22" s="17" t="e">
        <f>#REF!</f>
        <v>#REF!</v>
      </c>
      <c r="AC22" s="3" t="e">
        <f>#REF!</f>
        <v>#REF!</v>
      </c>
      <c r="AD22" s="17" t="e">
        <f>#REF!</f>
        <v>#REF!</v>
      </c>
      <c r="AE22" s="17"/>
      <c r="AF22" s="29" t="e">
        <f>#REF!</f>
        <v>#REF!</v>
      </c>
      <c r="AG22" s="29" t="e">
        <f>#REF!</f>
        <v>#REF!</v>
      </c>
      <c r="AH22" s="29" t="e">
        <f>#REF!</f>
        <v>#REF!</v>
      </c>
      <c r="AI22" s="28" t="e">
        <f>#REF!</f>
        <v>#REF!</v>
      </c>
      <c r="AJ22" s="29" t="e">
        <f>#REF!</f>
        <v>#REF!</v>
      </c>
      <c r="AK22" s="29" t="e">
        <f>#REF!</f>
        <v>#REF!</v>
      </c>
      <c r="AL22" s="29"/>
      <c r="AM22" s="29"/>
      <c r="AN22" s="37"/>
      <c r="AO22" s="37"/>
      <c r="AP22" s="37"/>
      <c r="AQ22" s="37"/>
      <c r="AR22" s="37"/>
      <c r="AS22" s="39"/>
      <c r="AT22" s="54"/>
      <c r="AY22" s="278"/>
      <c r="AZ22" s="278"/>
      <c r="BA22" s="278"/>
      <c r="BB22" s="278"/>
    </row>
    <row r="23" spans="1:54" ht="15.6" customHeight="1">
      <c r="A23" s="6">
        <v>19</v>
      </c>
      <c r="B23" s="4" t="e">
        <f>#REF!</f>
        <v>#REF!</v>
      </c>
      <c r="C23" s="4" t="e">
        <f>#REF!</f>
        <v>#REF!</v>
      </c>
      <c r="D23" s="3" t="e">
        <f>#REF!</f>
        <v>#REF!</v>
      </c>
      <c r="E23" s="3" t="e">
        <f>#REF!</f>
        <v>#REF!</v>
      </c>
      <c r="F23" s="8" t="e">
        <f>#REF!</f>
        <v>#REF!</v>
      </c>
      <c r="G23" s="67" t="e">
        <f>#REF!</f>
        <v>#REF!</v>
      </c>
      <c r="H23" s="16" t="e">
        <f>#REF!</f>
        <v>#REF!</v>
      </c>
      <c r="I23" s="68" t="e">
        <f>#REF!</f>
        <v>#REF!</v>
      </c>
      <c r="J23" s="17" t="e">
        <f>#REF!</f>
        <v>#REF!</v>
      </c>
      <c r="K23" s="3" t="e">
        <f>#REF!</f>
        <v>#REF!</v>
      </c>
      <c r="L23" s="17" t="e">
        <f>#REF!</f>
        <v>#REF!</v>
      </c>
      <c r="M23" s="3" t="e">
        <f>#REF!</f>
        <v>#REF!</v>
      </c>
      <c r="N23" s="17" t="e">
        <f>#REF!</f>
        <v>#REF!</v>
      </c>
      <c r="O23" s="3" t="e">
        <f>#REF!</f>
        <v>#REF!</v>
      </c>
      <c r="P23" s="17" t="e">
        <f>#REF!</f>
        <v>#REF!</v>
      </c>
      <c r="Q23" s="3" t="e">
        <f>#REF!</f>
        <v>#REF!</v>
      </c>
      <c r="R23" s="17" t="e">
        <f>#REF!</f>
        <v>#REF!</v>
      </c>
      <c r="S23" s="3" t="e">
        <f>#REF!</f>
        <v>#REF!</v>
      </c>
      <c r="T23" s="17" t="e">
        <f>#REF!</f>
        <v>#REF!</v>
      </c>
      <c r="U23" s="3" t="e">
        <f>#REF!</f>
        <v>#REF!</v>
      </c>
      <c r="V23" s="17" t="e">
        <f>#REF!</f>
        <v>#REF!</v>
      </c>
      <c r="W23" s="68" t="e">
        <f>#REF!</f>
        <v>#REF!</v>
      </c>
      <c r="X23" s="16" t="e">
        <f>#REF!</f>
        <v>#REF!</v>
      </c>
      <c r="Y23" s="68" t="e">
        <f>#REF!</f>
        <v>#REF!</v>
      </c>
      <c r="Z23" s="17" t="e">
        <f>#REF!</f>
        <v>#REF!</v>
      </c>
      <c r="AA23" s="3" t="e">
        <f>#REF!</f>
        <v>#REF!</v>
      </c>
      <c r="AB23" s="17" t="e">
        <f>#REF!</f>
        <v>#REF!</v>
      </c>
      <c r="AC23" s="3" t="e">
        <f>#REF!</f>
        <v>#REF!</v>
      </c>
      <c r="AD23" s="17" t="e">
        <f>#REF!</f>
        <v>#REF!</v>
      </c>
      <c r="AE23" s="17"/>
      <c r="AF23" s="29" t="e">
        <f>#REF!</f>
        <v>#REF!</v>
      </c>
      <c r="AG23" s="29" t="e">
        <f>#REF!</f>
        <v>#REF!</v>
      </c>
      <c r="AH23" s="29" t="e">
        <f>#REF!</f>
        <v>#REF!</v>
      </c>
      <c r="AI23" s="28" t="e">
        <f>#REF!</f>
        <v>#REF!</v>
      </c>
      <c r="AJ23" s="29" t="e">
        <f>#REF!</f>
        <v>#REF!</v>
      </c>
      <c r="AK23" s="29" t="e">
        <f>#REF!</f>
        <v>#REF!</v>
      </c>
      <c r="AL23" s="29"/>
      <c r="AM23" s="29"/>
      <c r="AN23" s="37"/>
      <c r="AO23" s="37"/>
      <c r="AP23" s="37"/>
      <c r="AQ23" s="37"/>
      <c r="AR23" s="37"/>
      <c r="AS23" s="39"/>
      <c r="AT23" s="54"/>
      <c r="AY23" s="278"/>
      <c r="AZ23" s="278"/>
      <c r="BA23" s="278"/>
      <c r="BB23" s="278"/>
    </row>
    <row r="24" spans="1:54" ht="15.6" customHeight="1">
      <c r="A24" s="7">
        <v>20</v>
      </c>
      <c r="B24" s="4" t="e">
        <f>#REF!</f>
        <v>#REF!</v>
      </c>
      <c r="C24" s="4" t="e">
        <f>#REF!</f>
        <v>#REF!</v>
      </c>
      <c r="D24" s="3" t="e">
        <f>#REF!</f>
        <v>#REF!</v>
      </c>
      <c r="E24" s="3" t="e">
        <f>#REF!</f>
        <v>#REF!</v>
      </c>
      <c r="F24" s="8" t="e">
        <f>#REF!</f>
        <v>#REF!</v>
      </c>
      <c r="G24" s="67" t="e">
        <f>#REF!</f>
        <v>#REF!</v>
      </c>
      <c r="H24" s="16" t="e">
        <f>#REF!</f>
        <v>#REF!</v>
      </c>
      <c r="I24" s="68" t="e">
        <f>#REF!</f>
        <v>#REF!</v>
      </c>
      <c r="J24" s="17" t="e">
        <f>#REF!</f>
        <v>#REF!</v>
      </c>
      <c r="K24" s="3" t="e">
        <f>#REF!</f>
        <v>#REF!</v>
      </c>
      <c r="L24" s="17" t="e">
        <f>#REF!</f>
        <v>#REF!</v>
      </c>
      <c r="M24" s="3" t="e">
        <f>#REF!</f>
        <v>#REF!</v>
      </c>
      <c r="N24" s="17" t="e">
        <f>#REF!</f>
        <v>#REF!</v>
      </c>
      <c r="O24" s="3" t="e">
        <f>#REF!</f>
        <v>#REF!</v>
      </c>
      <c r="P24" s="17" t="e">
        <f>#REF!</f>
        <v>#REF!</v>
      </c>
      <c r="Q24" s="3" t="e">
        <f>#REF!</f>
        <v>#REF!</v>
      </c>
      <c r="R24" s="17" t="e">
        <f>#REF!</f>
        <v>#REF!</v>
      </c>
      <c r="S24" s="3" t="e">
        <f>#REF!</f>
        <v>#REF!</v>
      </c>
      <c r="T24" s="17" t="e">
        <f>#REF!</f>
        <v>#REF!</v>
      </c>
      <c r="U24" s="3" t="e">
        <f>#REF!</f>
        <v>#REF!</v>
      </c>
      <c r="V24" s="17" t="e">
        <f>#REF!</f>
        <v>#REF!</v>
      </c>
      <c r="W24" s="68" t="e">
        <f>#REF!</f>
        <v>#REF!</v>
      </c>
      <c r="X24" s="16" t="e">
        <f>#REF!</f>
        <v>#REF!</v>
      </c>
      <c r="Y24" s="68" t="e">
        <f>#REF!</f>
        <v>#REF!</v>
      </c>
      <c r="Z24" s="17" t="e">
        <f>#REF!</f>
        <v>#REF!</v>
      </c>
      <c r="AA24" s="3" t="e">
        <f>#REF!</f>
        <v>#REF!</v>
      </c>
      <c r="AB24" s="17" t="e">
        <f>#REF!</f>
        <v>#REF!</v>
      </c>
      <c r="AC24" s="3" t="e">
        <f>#REF!</f>
        <v>#REF!</v>
      </c>
      <c r="AD24" s="17" t="e">
        <f>#REF!</f>
        <v>#REF!</v>
      </c>
      <c r="AE24" s="17"/>
      <c r="AF24" s="29" t="e">
        <f>#REF!</f>
        <v>#REF!</v>
      </c>
      <c r="AG24" s="29" t="e">
        <f>#REF!</f>
        <v>#REF!</v>
      </c>
      <c r="AH24" s="29" t="e">
        <f>#REF!</f>
        <v>#REF!</v>
      </c>
      <c r="AI24" s="28" t="e">
        <f>#REF!</f>
        <v>#REF!</v>
      </c>
      <c r="AJ24" s="29" t="e">
        <f>#REF!</f>
        <v>#REF!</v>
      </c>
      <c r="AK24" s="29" t="e">
        <f>#REF!</f>
        <v>#REF!</v>
      </c>
      <c r="AL24" s="29"/>
      <c r="AM24" s="29"/>
      <c r="AN24" s="37"/>
      <c r="AO24" s="37"/>
      <c r="AP24" s="37"/>
      <c r="AQ24" s="37"/>
      <c r="AR24" s="37"/>
      <c r="AS24" s="39"/>
      <c r="AT24" s="54"/>
      <c r="AY24" s="278"/>
      <c r="AZ24" s="278"/>
      <c r="BA24" s="278"/>
      <c r="BB24" s="278"/>
    </row>
    <row r="25" spans="1:54" ht="15.6" customHeight="1">
      <c r="A25" s="6">
        <v>21</v>
      </c>
      <c r="B25" s="4" t="e">
        <f>#REF!</f>
        <v>#REF!</v>
      </c>
      <c r="C25" s="4" t="e">
        <f>#REF!</f>
        <v>#REF!</v>
      </c>
      <c r="D25" s="3" t="e">
        <f>#REF!</f>
        <v>#REF!</v>
      </c>
      <c r="E25" s="3" t="e">
        <f>#REF!</f>
        <v>#REF!</v>
      </c>
      <c r="F25" s="8" t="e">
        <f>#REF!</f>
        <v>#REF!</v>
      </c>
      <c r="G25" s="67" t="e">
        <f>#REF!</f>
        <v>#REF!</v>
      </c>
      <c r="H25" s="16" t="e">
        <f>#REF!</f>
        <v>#REF!</v>
      </c>
      <c r="I25" s="68" t="e">
        <f>#REF!</f>
        <v>#REF!</v>
      </c>
      <c r="J25" s="17" t="e">
        <f>#REF!</f>
        <v>#REF!</v>
      </c>
      <c r="K25" s="3" t="e">
        <f>#REF!</f>
        <v>#REF!</v>
      </c>
      <c r="L25" s="17" t="e">
        <f>#REF!</f>
        <v>#REF!</v>
      </c>
      <c r="M25" s="3" t="e">
        <f>#REF!</f>
        <v>#REF!</v>
      </c>
      <c r="N25" s="17" t="e">
        <f>#REF!</f>
        <v>#REF!</v>
      </c>
      <c r="O25" s="3" t="e">
        <f>#REF!</f>
        <v>#REF!</v>
      </c>
      <c r="P25" s="17" t="e">
        <f>#REF!</f>
        <v>#REF!</v>
      </c>
      <c r="Q25" s="3" t="e">
        <f>#REF!</f>
        <v>#REF!</v>
      </c>
      <c r="R25" s="17" t="e">
        <f>#REF!</f>
        <v>#REF!</v>
      </c>
      <c r="S25" s="3" t="e">
        <f>#REF!</f>
        <v>#REF!</v>
      </c>
      <c r="T25" s="17" t="e">
        <f>#REF!</f>
        <v>#REF!</v>
      </c>
      <c r="U25" s="3" t="e">
        <f>#REF!</f>
        <v>#REF!</v>
      </c>
      <c r="V25" s="17" t="e">
        <f>#REF!</f>
        <v>#REF!</v>
      </c>
      <c r="W25" s="68" t="e">
        <f>#REF!</f>
        <v>#REF!</v>
      </c>
      <c r="X25" s="16" t="e">
        <f>#REF!</f>
        <v>#REF!</v>
      </c>
      <c r="Y25" s="68" t="e">
        <f>#REF!</f>
        <v>#REF!</v>
      </c>
      <c r="Z25" s="17" t="e">
        <f>#REF!</f>
        <v>#REF!</v>
      </c>
      <c r="AA25" s="3" t="e">
        <f>#REF!</f>
        <v>#REF!</v>
      </c>
      <c r="AB25" s="17" t="e">
        <f>#REF!</f>
        <v>#REF!</v>
      </c>
      <c r="AC25" s="3" t="e">
        <f>#REF!</f>
        <v>#REF!</v>
      </c>
      <c r="AD25" s="17" t="e">
        <f>#REF!</f>
        <v>#REF!</v>
      </c>
      <c r="AE25" s="17"/>
      <c r="AF25" s="29" t="e">
        <f>#REF!</f>
        <v>#REF!</v>
      </c>
      <c r="AG25" s="29" t="e">
        <f>#REF!</f>
        <v>#REF!</v>
      </c>
      <c r="AH25" s="29" t="e">
        <f>#REF!</f>
        <v>#REF!</v>
      </c>
      <c r="AI25" s="28" t="e">
        <f>#REF!</f>
        <v>#REF!</v>
      </c>
      <c r="AJ25" s="29" t="e">
        <f>#REF!</f>
        <v>#REF!</v>
      </c>
      <c r="AK25" s="29" t="e">
        <f>#REF!</f>
        <v>#REF!</v>
      </c>
      <c r="AL25" s="29"/>
      <c r="AM25" s="29"/>
      <c r="AN25" s="37"/>
      <c r="AO25" s="37"/>
      <c r="AP25" s="37"/>
      <c r="AQ25" s="37"/>
      <c r="AR25" s="37"/>
      <c r="AS25" s="39"/>
      <c r="AT25" s="54"/>
      <c r="AY25" s="278"/>
      <c r="AZ25" s="278"/>
      <c r="BA25" s="278"/>
      <c r="BB25" s="278"/>
    </row>
    <row r="26" spans="1:54" ht="15.6" customHeight="1">
      <c r="A26" s="7">
        <v>22</v>
      </c>
      <c r="B26" s="4" t="e">
        <f>#REF!</f>
        <v>#REF!</v>
      </c>
      <c r="C26" s="4" t="e">
        <f>#REF!</f>
        <v>#REF!</v>
      </c>
      <c r="D26" s="3" t="e">
        <f>#REF!</f>
        <v>#REF!</v>
      </c>
      <c r="E26" s="3" t="e">
        <f>#REF!</f>
        <v>#REF!</v>
      </c>
      <c r="F26" s="8" t="e">
        <f>#REF!</f>
        <v>#REF!</v>
      </c>
      <c r="G26" s="67" t="e">
        <f>#REF!</f>
        <v>#REF!</v>
      </c>
      <c r="H26" s="16" t="e">
        <f>#REF!</f>
        <v>#REF!</v>
      </c>
      <c r="I26" s="68" t="e">
        <f>#REF!</f>
        <v>#REF!</v>
      </c>
      <c r="J26" s="17" t="e">
        <f>#REF!</f>
        <v>#REF!</v>
      </c>
      <c r="K26" s="3" t="e">
        <f>#REF!</f>
        <v>#REF!</v>
      </c>
      <c r="L26" s="17" t="e">
        <f>#REF!</f>
        <v>#REF!</v>
      </c>
      <c r="M26" s="3" t="e">
        <f>#REF!</f>
        <v>#REF!</v>
      </c>
      <c r="N26" s="17" t="e">
        <f>#REF!</f>
        <v>#REF!</v>
      </c>
      <c r="O26" s="3" t="e">
        <f>#REF!</f>
        <v>#REF!</v>
      </c>
      <c r="P26" s="17" t="e">
        <f>#REF!</f>
        <v>#REF!</v>
      </c>
      <c r="Q26" s="3" t="e">
        <f>#REF!</f>
        <v>#REF!</v>
      </c>
      <c r="R26" s="17" t="e">
        <f>#REF!</f>
        <v>#REF!</v>
      </c>
      <c r="S26" s="3" t="e">
        <f>#REF!</f>
        <v>#REF!</v>
      </c>
      <c r="T26" s="17" t="e">
        <f>#REF!</f>
        <v>#REF!</v>
      </c>
      <c r="U26" s="3" t="e">
        <f>#REF!</f>
        <v>#REF!</v>
      </c>
      <c r="V26" s="17" t="e">
        <f>#REF!</f>
        <v>#REF!</v>
      </c>
      <c r="W26" s="68" t="e">
        <f>#REF!</f>
        <v>#REF!</v>
      </c>
      <c r="X26" s="16" t="e">
        <f>#REF!</f>
        <v>#REF!</v>
      </c>
      <c r="Y26" s="68" t="e">
        <f>#REF!</f>
        <v>#REF!</v>
      </c>
      <c r="Z26" s="17" t="e">
        <f>#REF!</f>
        <v>#REF!</v>
      </c>
      <c r="AA26" s="3" t="e">
        <f>#REF!</f>
        <v>#REF!</v>
      </c>
      <c r="AB26" s="17" t="e">
        <f>#REF!</f>
        <v>#REF!</v>
      </c>
      <c r="AC26" s="3" t="e">
        <f>#REF!</f>
        <v>#REF!</v>
      </c>
      <c r="AD26" s="17" t="e">
        <f>#REF!</f>
        <v>#REF!</v>
      </c>
      <c r="AE26" s="17"/>
      <c r="AF26" s="29" t="e">
        <f>#REF!</f>
        <v>#REF!</v>
      </c>
      <c r="AG26" s="29" t="e">
        <f>#REF!</f>
        <v>#REF!</v>
      </c>
      <c r="AH26" s="29" t="e">
        <f>#REF!</f>
        <v>#REF!</v>
      </c>
      <c r="AI26" s="28" t="e">
        <f>#REF!</f>
        <v>#REF!</v>
      </c>
      <c r="AJ26" s="29" t="e">
        <f>#REF!</f>
        <v>#REF!</v>
      </c>
      <c r="AK26" s="29" t="e">
        <f>#REF!</f>
        <v>#REF!</v>
      </c>
      <c r="AL26" s="29"/>
      <c r="AM26" s="29"/>
      <c r="AN26" s="37"/>
      <c r="AO26" s="37"/>
      <c r="AP26" s="37"/>
      <c r="AQ26" s="37"/>
      <c r="AR26" s="37"/>
      <c r="AS26" s="39"/>
      <c r="AT26" s="54"/>
      <c r="AY26" s="278"/>
      <c r="AZ26" s="278"/>
      <c r="BA26" s="278"/>
      <c r="BB26" s="278"/>
    </row>
    <row r="27" spans="1:54" ht="15.6" customHeight="1">
      <c r="A27" s="7">
        <v>23</v>
      </c>
      <c r="B27" s="4" t="e">
        <f>#REF!</f>
        <v>#REF!</v>
      </c>
      <c r="C27" s="4" t="e">
        <f>#REF!</f>
        <v>#REF!</v>
      </c>
      <c r="D27" s="3" t="e">
        <f>#REF!</f>
        <v>#REF!</v>
      </c>
      <c r="E27" s="3" t="e">
        <f>#REF!</f>
        <v>#REF!</v>
      </c>
      <c r="F27" s="8" t="e">
        <f>#REF!</f>
        <v>#REF!</v>
      </c>
      <c r="G27" s="67" t="e">
        <f>#REF!</f>
        <v>#REF!</v>
      </c>
      <c r="H27" s="16" t="e">
        <f>#REF!</f>
        <v>#REF!</v>
      </c>
      <c r="I27" s="68" t="e">
        <f>#REF!</f>
        <v>#REF!</v>
      </c>
      <c r="J27" s="17" t="e">
        <f>#REF!</f>
        <v>#REF!</v>
      </c>
      <c r="K27" s="3" t="e">
        <f>#REF!</f>
        <v>#REF!</v>
      </c>
      <c r="L27" s="17" t="e">
        <f>#REF!</f>
        <v>#REF!</v>
      </c>
      <c r="M27" s="3" t="e">
        <f>#REF!</f>
        <v>#REF!</v>
      </c>
      <c r="N27" s="17" t="e">
        <f>#REF!</f>
        <v>#REF!</v>
      </c>
      <c r="O27" s="3" t="e">
        <f>#REF!</f>
        <v>#REF!</v>
      </c>
      <c r="P27" s="17" t="e">
        <f>#REF!</f>
        <v>#REF!</v>
      </c>
      <c r="Q27" s="3" t="e">
        <f>#REF!</f>
        <v>#REF!</v>
      </c>
      <c r="R27" s="17" t="e">
        <f>#REF!</f>
        <v>#REF!</v>
      </c>
      <c r="S27" s="3" t="e">
        <f>#REF!</f>
        <v>#REF!</v>
      </c>
      <c r="T27" s="17" t="e">
        <f>#REF!</f>
        <v>#REF!</v>
      </c>
      <c r="U27" s="3" t="e">
        <f>#REF!</f>
        <v>#REF!</v>
      </c>
      <c r="V27" s="17" t="e">
        <f>#REF!</f>
        <v>#REF!</v>
      </c>
      <c r="W27" s="68" t="e">
        <f>#REF!</f>
        <v>#REF!</v>
      </c>
      <c r="X27" s="16" t="e">
        <f>#REF!</f>
        <v>#REF!</v>
      </c>
      <c r="Y27" s="68" t="e">
        <f>#REF!</f>
        <v>#REF!</v>
      </c>
      <c r="Z27" s="17" t="e">
        <f>#REF!</f>
        <v>#REF!</v>
      </c>
      <c r="AA27" s="3" t="e">
        <f>#REF!</f>
        <v>#REF!</v>
      </c>
      <c r="AB27" s="17" t="e">
        <f>#REF!</f>
        <v>#REF!</v>
      </c>
      <c r="AC27" s="3" t="e">
        <f>#REF!</f>
        <v>#REF!</v>
      </c>
      <c r="AD27" s="17" t="e">
        <f>#REF!</f>
        <v>#REF!</v>
      </c>
      <c r="AE27" s="17"/>
      <c r="AF27" s="29" t="e">
        <f>#REF!</f>
        <v>#REF!</v>
      </c>
      <c r="AG27" s="29" t="e">
        <f>#REF!</f>
        <v>#REF!</v>
      </c>
      <c r="AH27" s="29" t="e">
        <f>#REF!</f>
        <v>#REF!</v>
      </c>
      <c r="AI27" s="28" t="e">
        <f>#REF!</f>
        <v>#REF!</v>
      </c>
      <c r="AJ27" s="29" t="e">
        <f>#REF!</f>
        <v>#REF!</v>
      </c>
      <c r="AK27" s="29" t="e">
        <f>#REF!</f>
        <v>#REF!</v>
      </c>
      <c r="AL27" s="29"/>
      <c r="AM27" s="29"/>
      <c r="AN27" s="37"/>
      <c r="AO27" s="37"/>
      <c r="AP27" s="37"/>
      <c r="AQ27" s="37"/>
      <c r="AR27" s="37"/>
      <c r="AS27" s="39"/>
      <c r="AT27" s="54"/>
      <c r="AY27" s="278"/>
      <c r="AZ27" s="278"/>
      <c r="BA27" s="278"/>
      <c r="BB27" s="278"/>
    </row>
    <row r="28" spans="1:54" ht="15.6" customHeight="1">
      <c r="A28" s="6">
        <v>24</v>
      </c>
      <c r="B28" s="4" t="e">
        <f>#REF!</f>
        <v>#REF!</v>
      </c>
      <c r="C28" s="4" t="e">
        <f>#REF!</f>
        <v>#REF!</v>
      </c>
      <c r="D28" s="3" t="e">
        <f>#REF!</f>
        <v>#REF!</v>
      </c>
      <c r="E28" s="3" t="e">
        <f>#REF!</f>
        <v>#REF!</v>
      </c>
      <c r="F28" s="8" t="e">
        <f>#REF!</f>
        <v>#REF!</v>
      </c>
      <c r="G28" s="67" t="e">
        <f>#REF!</f>
        <v>#REF!</v>
      </c>
      <c r="H28" s="16" t="e">
        <f>#REF!</f>
        <v>#REF!</v>
      </c>
      <c r="I28" s="68" t="e">
        <f>#REF!</f>
        <v>#REF!</v>
      </c>
      <c r="J28" s="17" t="e">
        <f>#REF!</f>
        <v>#REF!</v>
      </c>
      <c r="K28" s="3" t="e">
        <f>#REF!</f>
        <v>#REF!</v>
      </c>
      <c r="L28" s="17" t="e">
        <f>#REF!</f>
        <v>#REF!</v>
      </c>
      <c r="M28" s="3" t="e">
        <f>#REF!</f>
        <v>#REF!</v>
      </c>
      <c r="N28" s="17" t="e">
        <f>#REF!</f>
        <v>#REF!</v>
      </c>
      <c r="O28" s="3" t="e">
        <f>#REF!</f>
        <v>#REF!</v>
      </c>
      <c r="P28" s="17" t="e">
        <f>#REF!</f>
        <v>#REF!</v>
      </c>
      <c r="Q28" s="3" t="e">
        <f>#REF!</f>
        <v>#REF!</v>
      </c>
      <c r="R28" s="17" t="e">
        <f>#REF!</f>
        <v>#REF!</v>
      </c>
      <c r="S28" s="3" t="e">
        <f>#REF!</f>
        <v>#REF!</v>
      </c>
      <c r="T28" s="17" t="e">
        <f>#REF!</f>
        <v>#REF!</v>
      </c>
      <c r="U28" s="3" t="e">
        <f>#REF!</f>
        <v>#REF!</v>
      </c>
      <c r="V28" s="17" t="e">
        <f>#REF!</f>
        <v>#REF!</v>
      </c>
      <c r="W28" s="68" t="e">
        <f>#REF!</f>
        <v>#REF!</v>
      </c>
      <c r="X28" s="16" t="e">
        <f>#REF!</f>
        <v>#REF!</v>
      </c>
      <c r="Y28" s="68" t="e">
        <f>#REF!</f>
        <v>#REF!</v>
      </c>
      <c r="Z28" s="17" t="e">
        <f>#REF!</f>
        <v>#REF!</v>
      </c>
      <c r="AA28" s="3" t="e">
        <f>#REF!</f>
        <v>#REF!</v>
      </c>
      <c r="AB28" s="17" t="e">
        <f>#REF!</f>
        <v>#REF!</v>
      </c>
      <c r="AC28" s="3" t="e">
        <f>#REF!</f>
        <v>#REF!</v>
      </c>
      <c r="AD28" s="17" t="e">
        <f>#REF!</f>
        <v>#REF!</v>
      </c>
      <c r="AE28" s="17"/>
      <c r="AF28" s="29" t="e">
        <f>#REF!</f>
        <v>#REF!</v>
      </c>
      <c r="AG28" s="29" t="e">
        <f>#REF!</f>
        <v>#REF!</v>
      </c>
      <c r="AH28" s="29" t="e">
        <f>#REF!</f>
        <v>#REF!</v>
      </c>
      <c r="AI28" s="28" t="e">
        <f>#REF!</f>
        <v>#REF!</v>
      </c>
      <c r="AJ28" s="29" t="e">
        <f>#REF!</f>
        <v>#REF!</v>
      </c>
      <c r="AK28" s="29" t="e">
        <f>#REF!</f>
        <v>#REF!</v>
      </c>
      <c r="AL28" s="29"/>
      <c r="AM28" s="29"/>
      <c r="AN28" s="37"/>
      <c r="AO28" s="37"/>
      <c r="AP28" s="37"/>
      <c r="AQ28" s="37"/>
      <c r="AR28" s="37"/>
      <c r="AS28" s="39"/>
      <c r="AT28" s="54"/>
      <c r="AY28" s="278"/>
      <c r="AZ28" s="278"/>
      <c r="BA28" s="278"/>
      <c r="BB28" s="278"/>
    </row>
    <row r="29" spans="1:54" ht="15.6" customHeight="1">
      <c r="A29" s="7">
        <v>25</v>
      </c>
      <c r="B29" s="4" t="e">
        <f>#REF!</f>
        <v>#REF!</v>
      </c>
      <c r="C29" s="4" t="e">
        <f>#REF!</f>
        <v>#REF!</v>
      </c>
      <c r="D29" s="3" t="e">
        <f>#REF!</f>
        <v>#REF!</v>
      </c>
      <c r="E29" s="3" t="e">
        <f>#REF!</f>
        <v>#REF!</v>
      </c>
      <c r="F29" s="8" t="e">
        <f>#REF!</f>
        <v>#REF!</v>
      </c>
      <c r="G29" s="67" t="e">
        <f>#REF!</f>
        <v>#REF!</v>
      </c>
      <c r="H29" s="16" t="e">
        <f>#REF!</f>
        <v>#REF!</v>
      </c>
      <c r="I29" s="68" t="e">
        <f>#REF!</f>
        <v>#REF!</v>
      </c>
      <c r="J29" s="17" t="e">
        <f>#REF!</f>
        <v>#REF!</v>
      </c>
      <c r="K29" s="3" t="e">
        <f>#REF!</f>
        <v>#REF!</v>
      </c>
      <c r="L29" s="17" t="e">
        <f>#REF!</f>
        <v>#REF!</v>
      </c>
      <c r="M29" s="3" t="e">
        <f>#REF!</f>
        <v>#REF!</v>
      </c>
      <c r="N29" s="17" t="e">
        <f>#REF!</f>
        <v>#REF!</v>
      </c>
      <c r="O29" s="3" t="e">
        <f>#REF!</f>
        <v>#REF!</v>
      </c>
      <c r="P29" s="17" t="e">
        <f>#REF!</f>
        <v>#REF!</v>
      </c>
      <c r="Q29" s="3" t="e">
        <f>#REF!</f>
        <v>#REF!</v>
      </c>
      <c r="R29" s="17" t="e">
        <f>#REF!</f>
        <v>#REF!</v>
      </c>
      <c r="S29" s="3" t="e">
        <f>#REF!</f>
        <v>#REF!</v>
      </c>
      <c r="T29" s="17" t="e">
        <f>#REF!</f>
        <v>#REF!</v>
      </c>
      <c r="U29" s="3" t="e">
        <f>#REF!</f>
        <v>#REF!</v>
      </c>
      <c r="V29" s="17" t="e">
        <f>#REF!</f>
        <v>#REF!</v>
      </c>
      <c r="W29" s="68" t="e">
        <f>#REF!</f>
        <v>#REF!</v>
      </c>
      <c r="X29" s="16" t="e">
        <f>#REF!</f>
        <v>#REF!</v>
      </c>
      <c r="Y29" s="68" t="e">
        <f>#REF!</f>
        <v>#REF!</v>
      </c>
      <c r="Z29" s="17" t="e">
        <f>#REF!</f>
        <v>#REF!</v>
      </c>
      <c r="AA29" s="3" t="e">
        <f>#REF!</f>
        <v>#REF!</v>
      </c>
      <c r="AB29" s="17" t="e">
        <f>#REF!</f>
        <v>#REF!</v>
      </c>
      <c r="AC29" s="3" t="e">
        <f>#REF!</f>
        <v>#REF!</v>
      </c>
      <c r="AD29" s="17" t="e">
        <f>#REF!</f>
        <v>#REF!</v>
      </c>
      <c r="AE29" s="17"/>
      <c r="AF29" s="29" t="e">
        <f>#REF!</f>
        <v>#REF!</v>
      </c>
      <c r="AG29" s="29" t="e">
        <f>#REF!</f>
        <v>#REF!</v>
      </c>
      <c r="AH29" s="29" t="e">
        <f>#REF!</f>
        <v>#REF!</v>
      </c>
      <c r="AI29" s="28" t="e">
        <f>#REF!</f>
        <v>#REF!</v>
      </c>
      <c r="AJ29" s="29" t="e">
        <f>#REF!</f>
        <v>#REF!</v>
      </c>
      <c r="AK29" s="29" t="e">
        <f>#REF!</f>
        <v>#REF!</v>
      </c>
      <c r="AL29" s="29"/>
      <c r="AM29" s="29"/>
      <c r="AN29" s="37"/>
      <c r="AO29" s="37"/>
      <c r="AP29" s="37"/>
      <c r="AQ29" s="37"/>
      <c r="AR29" s="37"/>
      <c r="AS29" s="39"/>
      <c r="AT29" s="54"/>
      <c r="AY29" s="278"/>
      <c r="AZ29" s="278"/>
      <c r="BA29" s="278"/>
      <c r="BB29" s="278"/>
    </row>
    <row r="30" spans="1:54" ht="15.6" customHeight="1">
      <c r="A30" s="7">
        <v>26</v>
      </c>
      <c r="B30" s="4" t="e">
        <f>#REF!</f>
        <v>#REF!</v>
      </c>
      <c r="C30" s="4" t="e">
        <f>#REF!</f>
        <v>#REF!</v>
      </c>
      <c r="D30" s="3" t="e">
        <f>#REF!</f>
        <v>#REF!</v>
      </c>
      <c r="E30" s="3" t="e">
        <f>#REF!</f>
        <v>#REF!</v>
      </c>
      <c r="F30" s="8" t="e">
        <f>#REF!</f>
        <v>#REF!</v>
      </c>
      <c r="G30" s="67" t="e">
        <f>#REF!</f>
        <v>#REF!</v>
      </c>
      <c r="H30" s="16" t="e">
        <f>#REF!</f>
        <v>#REF!</v>
      </c>
      <c r="I30" s="68" t="e">
        <f>#REF!</f>
        <v>#REF!</v>
      </c>
      <c r="J30" s="17" t="e">
        <f>#REF!</f>
        <v>#REF!</v>
      </c>
      <c r="K30" s="3" t="e">
        <f>#REF!</f>
        <v>#REF!</v>
      </c>
      <c r="L30" s="17" t="e">
        <f>#REF!</f>
        <v>#REF!</v>
      </c>
      <c r="M30" s="3" t="e">
        <f>#REF!</f>
        <v>#REF!</v>
      </c>
      <c r="N30" s="17" t="e">
        <f>#REF!</f>
        <v>#REF!</v>
      </c>
      <c r="O30" s="3" t="e">
        <f>#REF!</f>
        <v>#REF!</v>
      </c>
      <c r="P30" s="17" t="e">
        <f>#REF!</f>
        <v>#REF!</v>
      </c>
      <c r="Q30" s="3" t="e">
        <f>#REF!</f>
        <v>#REF!</v>
      </c>
      <c r="R30" s="17" t="e">
        <f>#REF!</f>
        <v>#REF!</v>
      </c>
      <c r="S30" s="3" t="e">
        <f>#REF!</f>
        <v>#REF!</v>
      </c>
      <c r="T30" s="17" t="e">
        <f>#REF!</f>
        <v>#REF!</v>
      </c>
      <c r="U30" s="3" t="e">
        <f>#REF!</f>
        <v>#REF!</v>
      </c>
      <c r="V30" s="17" t="e">
        <f>#REF!</f>
        <v>#REF!</v>
      </c>
      <c r="W30" s="68" t="e">
        <f>#REF!</f>
        <v>#REF!</v>
      </c>
      <c r="X30" s="16" t="e">
        <f>#REF!</f>
        <v>#REF!</v>
      </c>
      <c r="Y30" s="68" t="e">
        <f>#REF!</f>
        <v>#REF!</v>
      </c>
      <c r="Z30" s="17" t="e">
        <f>#REF!</f>
        <v>#REF!</v>
      </c>
      <c r="AA30" s="3" t="e">
        <f>#REF!</f>
        <v>#REF!</v>
      </c>
      <c r="AB30" s="17" t="e">
        <f>#REF!</f>
        <v>#REF!</v>
      </c>
      <c r="AC30" s="3" t="e">
        <f>#REF!</f>
        <v>#REF!</v>
      </c>
      <c r="AD30" s="17" t="e">
        <f>#REF!</f>
        <v>#REF!</v>
      </c>
      <c r="AE30" s="17"/>
      <c r="AF30" s="29" t="e">
        <f>#REF!</f>
        <v>#REF!</v>
      </c>
      <c r="AG30" s="29" t="e">
        <f>#REF!</f>
        <v>#REF!</v>
      </c>
      <c r="AH30" s="29" t="e">
        <f>#REF!</f>
        <v>#REF!</v>
      </c>
      <c r="AI30" s="28" t="e">
        <f>#REF!</f>
        <v>#REF!</v>
      </c>
      <c r="AJ30" s="29" t="e">
        <f>#REF!</f>
        <v>#REF!</v>
      </c>
      <c r="AK30" s="29" t="e">
        <f>#REF!</f>
        <v>#REF!</v>
      </c>
      <c r="AL30" s="29"/>
      <c r="AM30" s="29"/>
      <c r="AN30" s="37"/>
      <c r="AO30" s="37"/>
      <c r="AP30" s="37"/>
      <c r="AQ30" s="37"/>
      <c r="AR30" s="37"/>
      <c r="AS30" s="39"/>
      <c r="AT30" s="54"/>
      <c r="AY30" s="278"/>
      <c r="AZ30" s="278"/>
      <c r="BA30" s="278"/>
      <c r="BB30" s="278"/>
    </row>
    <row r="31" spans="1:54" ht="15.6" customHeight="1">
      <c r="A31" s="6">
        <v>27</v>
      </c>
      <c r="B31" s="4" t="e">
        <f>#REF!</f>
        <v>#REF!</v>
      </c>
      <c r="C31" s="4" t="e">
        <f>#REF!</f>
        <v>#REF!</v>
      </c>
      <c r="D31" s="3" t="e">
        <f>#REF!</f>
        <v>#REF!</v>
      </c>
      <c r="E31" s="3" t="e">
        <f>#REF!</f>
        <v>#REF!</v>
      </c>
      <c r="F31" s="8" t="e">
        <f>#REF!</f>
        <v>#REF!</v>
      </c>
      <c r="G31" s="67" t="e">
        <f>#REF!</f>
        <v>#REF!</v>
      </c>
      <c r="H31" s="16" t="e">
        <f>#REF!</f>
        <v>#REF!</v>
      </c>
      <c r="I31" s="68" t="e">
        <f>#REF!</f>
        <v>#REF!</v>
      </c>
      <c r="J31" s="17" t="e">
        <f>#REF!</f>
        <v>#REF!</v>
      </c>
      <c r="K31" s="3" t="e">
        <f>#REF!</f>
        <v>#REF!</v>
      </c>
      <c r="L31" s="17" t="e">
        <f>#REF!</f>
        <v>#REF!</v>
      </c>
      <c r="M31" s="3" t="e">
        <f>#REF!</f>
        <v>#REF!</v>
      </c>
      <c r="N31" s="17" t="e">
        <f>#REF!</f>
        <v>#REF!</v>
      </c>
      <c r="O31" s="3" t="e">
        <f>#REF!</f>
        <v>#REF!</v>
      </c>
      <c r="P31" s="17" t="e">
        <f>#REF!</f>
        <v>#REF!</v>
      </c>
      <c r="Q31" s="3" t="e">
        <f>#REF!</f>
        <v>#REF!</v>
      </c>
      <c r="R31" s="17" t="e">
        <f>#REF!</f>
        <v>#REF!</v>
      </c>
      <c r="S31" s="3" t="e">
        <f>#REF!</f>
        <v>#REF!</v>
      </c>
      <c r="T31" s="17" t="e">
        <f>#REF!</f>
        <v>#REF!</v>
      </c>
      <c r="U31" s="3" t="e">
        <f>#REF!</f>
        <v>#REF!</v>
      </c>
      <c r="V31" s="17" t="e">
        <f>#REF!</f>
        <v>#REF!</v>
      </c>
      <c r="W31" s="68" t="e">
        <f>#REF!</f>
        <v>#REF!</v>
      </c>
      <c r="X31" s="16" t="e">
        <f>#REF!</f>
        <v>#REF!</v>
      </c>
      <c r="Y31" s="68" t="e">
        <f>#REF!</f>
        <v>#REF!</v>
      </c>
      <c r="Z31" s="17" t="e">
        <f>#REF!</f>
        <v>#REF!</v>
      </c>
      <c r="AA31" s="3" t="e">
        <f>#REF!</f>
        <v>#REF!</v>
      </c>
      <c r="AB31" s="17" t="e">
        <f>#REF!</f>
        <v>#REF!</v>
      </c>
      <c r="AC31" s="3" t="e">
        <f>#REF!</f>
        <v>#REF!</v>
      </c>
      <c r="AD31" s="17" t="e">
        <f>#REF!</f>
        <v>#REF!</v>
      </c>
      <c r="AE31" s="17"/>
      <c r="AF31" s="29" t="e">
        <f>#REF!</f>
        <v>#REF!</v>
      </c>
      <c r="AG31" s="29" t="e">
        <f>#REF!</f>
        <v>#REF!</v>
      </c>
      <c r="AH31" s="29" t="e">
        <f>#REF!</f>
        <v>#REF!</v>
      </c>
      <c r="AI31" s="28" t="e">
        <f>#REF!</f>
        <v>#REF!</v>
      </c>
      <c r="AJ31" s="29" t="e">
        <f>#REF!</f>
        <v>#REF!</v>
      </c>
      <c r="AK31" s="29" t="e">
        <f>#REF!</f>
        <v>#REF!</v>
      </c>
      <c r="AL31" s="29"/>
      <c r="AM31" s="29"/>
      <c r="AN31" s="37"/>
      <c r="AO31" s="37"/>
      <c r="AP31" s="37"/>
      <c r="AQ31" s="37"/>
      <c r="AR31" s="37"/>
      <c r="AS31" s="39"/>
      <c r="AT31" s="54"/>
      <c r="AY31" s="278"/>
      <c r="AZ31" s="278"/>
      <c r="BA31" s="278"/>
      <c r="BB31" s="278"/>
    </row>
    <row r="32" spans="1:54" ht="15.6" customHeight="1">
      <c r="A32" s="7">
        <v>28</v>
      </c>
      <c r="B32" s="4" t="e">
        <f>#REF!</f>
        <v>#REF!</v>
      </c>
      <c r="C32" s="4" t="e">
        <f>#REF!</f>
        <v>#REF!</v>
      </c>
      <c r="D32" s="3" t="e">
        <f>#REF!</f>
        <v>#REF!</v>
      </c>
      <c r="E32" s="3" t="e">
        <f>#REF!</f>
        <v>#REF!</v>
      </c>
      <c r="F32" s="8" t="e">
        <f>#REF!</f>
        <v>#REF!</v>
      </c>
      <c r="G32" s="67" t="e">
        <f>#REF!</f>
        <v>#REF!</v>
      </c>
      <c r="H32" s="16" t="e">
        <f>#REF!</f>
        <v>#REF!</v>
      </c>
      <c r="I32" s="68" t="e">
        <f>#REF!</f>
        <v>#REF!</v>
      </c>
      <c r="J32" s="17" t="e">
        <f>#REF!</f>
        <v>#REF!</v>
      </c>
      <c r="K32" s="3" t="e">
        <f>#REF!</f>
        <v>#REF!</v>
      </c>
      <c r="L32" s="17" t="e">
        <f>#REF!</f>
        <v>#REF!</v>
      </c>
      <c r="M32" s="3" t="e">
        <f>#REF!</f>
        <v>#REF!</v>
      </c>
      <c r="N32" s="17" t="e">
        <f>#REF!</f>
        <v>#REF!</v>
      </c>
      <c r="O32" s="3" t="e">
        <f>#REF!</f>
        <v>#REF!</v>
      </c>
      <c r="P32" s="17" t="e">
        <f>#REF!</f>
        <v>#REF!</v>
      </c>
      <c r="Q32" s="3" t="e">
        <f>#REF!</f>
        <v>#REF!</v>
      </c>
      <c r="R32" s="17" t="e">
        <f>#REF!</f>
        <v>#REF!</v>
      </c>
      <c r="S32" s="3" t="e">
        <f>#REF!</f>
        <v>#REF!</v>
      </c>
      <c r="T32" s="17" t="e">
        <f>#REF!</f>
        <v>#REF!</v>
      </c>
      <c r="U32" s="3" t="e">
        <f>#REF!</f>
        <v>#REF!</v>
      </c>
      <c r="V32" s="17" t="e">
        <f>#REF!</f>
        <v>#REF!</v>
      </c>
      <c r="W32" s="68" t="e">
        <f>#REF!</f>
        <v>#REF!</v>
      </c>
      <c r="X32" s="16" t="e">
        <f>#REF!</f>
        <v>#REF!</v>
      </c>
      <c r="Y32" s="68" t="e">
        <f>#REF!</f>
        <v>#REF!</v>
      </c>
      <c r="Z32" s="17" t="e">
        <f>#REF!</f>
        <v>#REF!</v>
      </c>
      <c r="AA32" s="3" t="e">
        <f>#REF!</f>
        <v>#REF!</v>
      </c>
      <c r="AB32" s="17" t="e">
        <f>#REF!</f>
        <v>#REF!</v>
      </c>
      <c r="AC32" s="3" t="e">
        <f>#REF!</f>
        <v>#REF!</v>
      </c>
      <c r="AD32" s="17" t="e">
        <f>#REF!</f>
        <v>#REF!</v>
      </c>
      <c r="AE32" s="17"/>
      <c r="AF32" s="29" t="e">
        <f>#REF!</f>
        <v>#REF!</v>
      </c>
      <c r="AG32" s="29" t="e">
        <f>#REF!</f>
        <v>#REF!</v>
      </c>
      <c r="AH32" s="29" t="e">
        <f>#REF!</f>
        <v>#REF!</v>
      </c>
      <c r="AI32" s="28" t="e">
        <f>#REF!</f>
        <v>#REF!</v>
      </c>
      <c r="AJ32" s="29" t="e">
        <f>#REF!</f>
        <v>#REF!</v>
      </c>
      <c r="AK32" s="29" t="e">
        <f>#REF!</f>
        <v>#REF!</v>
      </c>
      <c r="AL32" s="29"/>
      <c r="AM32" s="29"/>
      <c r="AN32" s="37"/>
      <c r="AO32" s="37"/>
      <c r="AP32" s="37"/>
      <c r="AQ32" s="37"/>
      <c r="AR32" s="37"/>
      <c r="AS32" s="39"/>
      <c r="AT32" s="54"/>
      <c r="AY32" s="278"/>
      <c r="AZ32" s="278"/>
      <c r="BA32" s="278"/>
      <c r="BB32" s="278"/>
    </row>
    <row r="33" spans="1:54" ht="15.6" customHeight="1">
      <c r="A33" s="7">
        <v>29</v>
      </c>
      <c r="B33" s="4" t="e">
        <f>#REF!</f>
        <v>#REF!</v>
      </c>
      <c r="C33" s="4" t="e">
        <f>#REF!</f>
        <v>#REF!</v>
      </c>
      <c r="D33" s="3" t="e">
        <f>#REF!</f>
        <v>#REF!</v>
      </c>
      <c r="E33" s="3" t="e">
        <f>#REF!</f>
        <v>#REF!</v>
      </c>
      <c r="F33" s="8" t="e">
        <f>#REF!</f>
        <v>#REF!</v>
      </c>
      <c r="G33" s="67" t="e">
        <f>#REF!</f>
        <v>#REF!</v>
      </c>
      <c r="H33" s="16" t="e">
        <f>#REF!</f>
        <v>#REF!</v>
      </c>
      <c r="I33" s="68" t="e">
        <f>#REF!</f>
        <v>#REF!</v>
      </c>
      <c r="J33" s="17" t="e">
        <f>#REF!</f>
        <v>#REF!</v>
      </c>
      <c r="K33" s="3" t="e">
        <f>#REF!</f>
        <v>#REF!</v>
      </c>
      <c r="L33" s="17" t="e">
        <f>#REF!</f>
        <v>#REF!</v>
      </c>
      <c r="M33" s="3" t="e">
        <f>#REF!</f>
        <v>#REF!</v>
      </c>
      <c r="N33" s="17" t="e">
        <f>#REF!</f>
        <v>#REF!</v>
      </c>
      <c r="O33" s="3" t="e">
        <f>#REF!</f>
        <v>#REF!</v>
      </c>
      <c r="P33" s="17" t="e">
        <f>#REF!</f>
        <v>#REF!</v>
      </c>
      <c r="Q33" s="3" t="e">
        <f>#REF!</f>
        <v>#REF!</v>
      </c>
      <c r="R33" s="17" t="e">
        <f>#REF!</f>
        <v>#REF!</v>
      </c>
      <c r="S33" s="3" t="e">
        <f>#REF!</f>
        <v>#REF!</v>
      </c>
      <c r="T33" s="17" t="e">
        <f>#REF!</f>
        <v>#REF!</v>
      </c>
      <c r="U33" s="3" t="e">
        <f>#REF!</f>
        <v>#REF!</v>
      </c>
      <c r="V33" s="17" t="e">
        <f>#REF!</f>
        <v>#REF!</v>
      </c>
      <c r="W33" s="68" t="e">
        <f>#REF!</f>
        <v>#REF!</v>
      </c>
      <c r="X33" s="16" t="e">
        <f>#REF!</f>
        <v>#REF!</v>
      </c>
      <c r="Y33" s="68" t="e">
        <f>#REF!</f>
        <v>#REF!</v>
      </c>
      <c r="Z33" s="17" t="e">
        <f>#REF!</f>
        <v>#REF!</v>
      </c>
      <c r="AA33" s="3" t="e">
        <f>#REF!</f>
        <v>#REF!</v>
      </c>
      <c r="AB33" s="17" t="e">
        <f>#REF!</f>
        <v>#REF!</v>
      </c>
      <c r="AC33" s="3" t="e">
        <f>#REF!</f>
        <v>#REF!</v>
      </c>
      <c r="AD33" s="17" t="e">
        <f>#REF!</f>
        <v>#REF!</v>
      </c>
      <c r="AE33" s="17"/>
      <c r="AF33" s="29" t="e">
        <f>#REF!</f>
        <v>#REF!</v>
      </c>
      <c r="AG33" s="29" t="e">
        <f>#REF!</f>
        <v>#REF!</v>
      </c>
      <c r="AH33" s="29" t="e">
        <f>#REF!</f>
        <v>#REF!</v>
      </c>
      <c r="AI33" s="28" t="e">
        <f>#REF!</f>
        <v>#REF!</v>
      </c>
      <c r="AJ33" s="29" t="e">
        <f>#REF!</f>
        <v>#REF!</v>
      </c>
      <c r="AK33" s="29" t="e">
        <f>#REF!</f>
        <v>#REF!</v>
      </c>
      <c r="AL33" s="29"/>
      <c r="AM33" s="29"/>
      <c r="AN33" s="37"/>
      <c r="AO33" s="37"/>
      <c r="AP33" s="37"/>
      <c r="AQ33" s="37"/>
      <c r="AR33" s="37"/>
      <c r="AS33" s="39"/>
      <c r="AT33" s="54"/>
      <c r="AY33" s="278"/>
      <c r="AZ33" s="278"/>
      <c r="BA33" s="278"/>
      <c r="BB33" s="278"/>
    </row>
    <row r="34" spans="1:54" ht="15.6" customHeight="1">
      <c r="A34" s="6">
        <v>30</v>
      </c>
      <c r="B34" s="4" t="e">
        <f>#REF!</f>
        <v>#REF!</v>
      </c>
      <c r="C34" s="4" t="e">
        <f>#REF!</f>
        <v>#REF!</v>
      </c>
      <c r="D34" s="3" t="e">
        <f>#REF!</f>
        <v>#REF!</v>
      </c>
      <c r="E34" s="3" t="e">
        <f>#REF!</f>
        <v>#REF!</v>
      </c>
      <c r="F34" s="8" t="e">
        <f>#REF!</f>
        <v>#REF!</v>
      </c>
      <c r="G34" s="67" t="e">
        <f>#REF!</f>
        <v>#REF!</v>
      </c>
      <c r="H34" s="16" t="e">
        <f>#REF!</f>
        <v>#REF!</v>
      </c>
      <c r="I34" s="68" t="e">
        <f>#REF!</f>
        <v>#REF!</v>
      </c>
      <c r="J34" s="17" t="e">
        <f>#REF!</f>
        <v>#REF!</v>
      </c>
      <c r="K34" s="3" t="e">
        <f>#REF!</f>
        <v>#REF!</v>
      </c>
      <c r="L34" s="17" t="e">
        <f>#REF!</f>
        <v>#REF!</v>
      </c>
      <c r="M34" s="3" t="e">
        <f>#REF!</f>
        <v>#REF!</v>
      </c>
      <c r="N34" s="17" t="e">
        <f>#REF!</f>
        <v>#REF!</v>
      </c>
      <c r="O34" s="3" t="e">
        <f>#REF!</f>
        <v>#REF!</v>
      </c>
      <c r="P34" s="17" t="e">
        <f>#REF!</f>
        <v>#REF!</v>
      </c>
      <c r="Q34" s="3" t="e">
        <f>#REF!</f>
        <v>#REF!</v>
      </c>
      <c r="R34" s="17" t="e">
        <f>#REF!</f>
        <v>#REF!</v>
      </c>
      <c r="S34" s="3" t="e">
        <f>#REF!</f>
        <v>#REF!</v>
      </c>
      <c r="T34" s="17" t="e">
        <f>#REF!</f>
        <v>#REF!</v>
      </c>
      <c r="U34" s="3" t="e">
        <f>#REF!</f>
        <v>#REF!</v>
      </c>
      <c r="V34" s="17" t="e">
        <f>#REF!</f>
        <v>#REF!</v>
      </c>
      <c r="W34" s="68" t="e">
        <f>#REF!</f>
        <v>#REF!</v>
      </c>
      <c r="X34" s="16" t="e">
        <f>#REF!</f>
        <v>#REF!</v>
      </c>
      <c r="Y34" s="68" t="e">
        <f>#REF!</f>
        <v>#REF!</v>
      </c>
      <c r="Z34" s="17" t="e">
        <f>#REF!</f>
        <v>#REF!</v>
      </c>
      <c r="AA34" s="3" t="e">
        <f>#REF!</f>
        <v>#REF!</v>
      </c>
      <c r="AB34" s="17" t="e">
        <f>#REF!</f>
        <v>#REF!</v>
      </c>
      <c r="AC34" s="3" t="e">
        <f>#REF!</f>
        <v>#REF!</v>
      </c>
      <c r="AD34" s="17" t="e">
        <f>#REF!</f>
        <v>#REF!</v>
      </c>
      <c r="AE34" s="17"/>
      <c r="AF34" s="29" t="e">
        <f>#REF!</f>
        <v>#REF!</v>
      </c>
      <c r="AG34" s="29" t="e">
        <f>#REF!</f>
        <v>#REF!</v>
      </c>
      <c r="AH34" s="29" t="e">
        <f>#REF!</f>
        <v>#REF!</v>
      </c>
      <c r="AI34" s="28" t="e">
        <f>#REF!</f>
        <v>#REF!</v>
      </c>
      <c r="AJ34" s="29" t="e">
        <f>#REF!</f>
        <v>#REF!</v>
      </c>
      <c r="AK34" s="29" t="e">
        <f>#REF!</f>
        <v>#REF!</v>
      </c>
      <c r="AL34" s="29"/>
      <c r="AM34" s="29"/>
      <c r="AN34" s="37"/>
      <c r="AO34" s="37"/>
      <c r="AP34" s="37"/>
      <c r="AQ34" s="37"/>
      <c r="AR34" s="37"/>
      <c r="AS34" s="39"/>
      <c r="AT34" s="54"/>
      <c r="AY34" s="278"/>
      <c r="AZ34" s="278"/>
      <c r="BA34" s="278"/>
      <c r="BB34" s="278"/>
    </row>
    <row r="35" spans="1:54" ht="15.6" customHeight="1">
      <c r="A35" s="7">
        <v>31</v>
      </c>
      <c r="B35" s="4" t="e">
        <f>#REF!</f>
        <v>#REF!</v>
      </c>
      <c r="C35" s="4" t="e">
        <f>#REF!</f>
        <v>#REF!</v>
      </c>
      <c r="D35" s="3" t="e">
        <f>#REF!</f>
        <v>#REF!</v>
      </c>
      <c r="E35" s="3" t="e">
        <f>#REF!</f>
        <v>#REF!</v>
      </c>
      <c r="F35" s="8" t="e">
        <f>#REF!</f>
        <v>#REF!</v>
      </c>
      <c r="G35" s="67" t="e">
        <f>#REF!</f>
        <v>#REF!</v>
      </c>
      <c r="H35" s="16" t="e">
        <f>#REF!</f>
        <v>#REF!</v>
      </c>
      <c r="I35" s="68" t="e">
        <f>#REF!</f>
        <v>#REF!</v>
      </c>
      <c r="J35" s="17" t="e">
        <f>#REF!</f>
        <v>#REF!</v>
      </c>
      <c r="K35" s="3" t="e">
        <f>#REF!</f>
        <v>#REF!</v>
      </c>
      <c r="L35" s="17" t="e">
        <f>#REF!</f>
        <v>#REF!</v>
      </c>
      <c r="M35" s="3" t="e">
        <f>#REF!</f>
        <v>#REF!</v>
      </c>
      <c r="N35" s="17" t="e">
        <f>#REF!</f>
        <v>#REF!</v>
      </c>
      <c r="O35" s="3" t="e">
        <f>#REF!</f>
        <v>#REF!</v>
      </c>
      <c r="P35" s="17" t="e">
        <f>#REF!</f>
        <v>#REF!</v>
      </c>
      <c r="Q35" s="3" t="e">
        <f>#REF!</f>
        <v>#REF!</v>
      </c>
      <c r="R35" s="17" t="e">
        <f>#REF!</f>
        <v>#REF!</v>
      </c>
      <c r="S35" s="3" t="e">
        <f>#REF!</f>
        <v>#REF!</v>
      </c>
      <c r="T35" s="17" t="e">
        <f>#REF!</f>
        <v>#REF!</v>
      </c>
      <c r="U35" s="3" t="e">
        <f>#REF!</f>
        <v>#REF!</v>
      </c>
      <c r="V35" s="17" t="e">
        <f>#REF!</f>
        <v>#REF!</v>
      </c>
      <c r="W35" s="68" t="e">
        <f>#REF!</f>
        <v>#REF!</v>
      </c>
      <c r="X35" s="16" t="e">
        <f>#REF!</f>
        <v>#REF!</v>
      </c>
      <c r="Y35" s="68" t="e">
        <f>#REF!</f>
        <v>#REF!</v>
      </c>
      <c r="Z35" s="17" t="e">
        <f>#REF!</f>
        <v>#REF!</v>
      </c>
      <c r="AA35" s="3" t="e">
        <f>#REF!</f>
        <v>#REF!</v>
      </c>
      <c r="AB35" s="17" t="e">
        <f>#REF!</f>
        <v>#REF!</v>
      </c>
      <c r="AC35" s="3" t="e">
        <f>#REF!</f>
        <v>#REF!</v>
      </c>
      <c r="AD35" s="17" t="e">
        <f>#REF!</f>
        <v>#REF!</v>
      </c>
      <c r="AE35" s="17"/>
      <c r="AF35" s="29" t="e">
        <f>#REF!</f>
        <v>#REF!</v>
      </c>
      <c r="AG35" s="29" t="e">
        <f>#REF!</f>
        <v>#REF!</v>
      </c>
      <c r="AH35" s="29" t="e">
        <f>#REF!</f>
        <v>#REF!</v>
      </c>
      <c r="AI35" s="28" t="e">
        <f>#REF!</f>
        <v>#REF!</v>
      </c>
      <c r="AJ35" s="29" t="e">
        <f>#REF!</f>
        <v>#REF!</v>
      </c>
      <c r="AK35" s="29" t="e">
        <f>#REF!</f>
        <v>#REF!</v>
      </c>
      <c r="AL35" s="29"/>
      <c r="AM35" s="29"/>
      <c r="AN35" s="37"/>
      <c r="AO35" s="37"/>
      <c r="AP35" s="37"/>
      <c r="AQ35" s="37"/>
      <c r="AR35" s="37"/>
      <c r="AS35" s="39"/>
      <c r="AT35" s="54"/>
      <c r="AY35" s="278"/>
      <c r="AZ35" s="278"/>
      <c r="BA35" s="278"/>
      <c r="BB35" s="278"/>
    </row>
    <row r="36" spans="1:54" ht="15.6" customHeight="1">
      <c r="A36" s="7">
        <v>32</v>
      </c>
      <c r="B36" s="4" t="e">
        <f>#REF!</f>
        <v>#REF!</v>
      </c>
      <c r="C36" s="4" t="e">
        <f>#REF!</f>
        <v>#REF!</v>
      </c>
      <c r="D36" s="3" t="e">
        <f>#REF!</f>
        <v>#REF!</v>
      </c>
      <c r="E36" s="3" t="e">
        <f>#REF!</f>
        <v>#REF!</v>
      </c>
      <c r="F36" s="8" t="e">
        <f>#REF!</f>
        <v>#REF!</v>
      </c>
      <c r="G36" s="67" t="e">
        <f>#REF!</f>
        <v>#REF!</v>
      </c>
      <c r="H36" s="16" t="e">
        <f>#REF!</f>
        <v>#REF!</v>
      </c>
      <c r="I36" s="68" t="e">
        <f>#REF!</f>
        <v>#REF!</v>
      </c>
      <c r="J36" s="17" t="e">
        <f>#REF!</f>
        <v>#REF!</v>
      </c>
      <c r="K36" s="3" t="e">
        <f>#REF!</f>
        <v>#REF!</v>
      </c>
      <c r="L36" s="17" t="e">
        <f>#REF!</f>
        <v>#REF!</v>
      </c>
      <c r="M36" s="3" t="e">
        <f>#REF!</f>
        <v>#REF!</v>
      </c>
      <c r="N36" s="17" t="e">
        <f>#REF!</f>
        <v>#REF!</v>
      </c>
      <c r="O36" s="3" t="e">
        <f>#REF!</f>
        <v>#REF!</v>
      </c>
      <c r="P36" s="17" t="e">
        <f>#REF!</f>
        <v>#REF!</v>
      </c>
      <c r="Q36" s="3" t="e">
        <f>#REF!</f>
        <v>#REF!</v>
      </c>
      <c r="R36" s="17" t="e">
        <f>#REF!</f>
        <v>#REF!</v>
      </c>
      <c r="S36" s="3" t="e">
        <f>#REF!</f>
        <v>#REF!</v>
      </c>
      <c r="T36" s="17" t="e">
        <f>#REF!</f>
        <v>#REF!</v>
      </c>
      <c r="U36" s="3" t="e">
        <f>#REF!</f>
        <v>#REF!</v>
      </c>
      <c r="V36" s="17" t="e">
        <f>#REF!</f>
        <v>#REF!</v>
      </c>
      <c r="W36" s="68" t="e">
        <f>#REF!</f>
        <v>#REF!</v>
      </c>
      <c r="X36" s="16" t="e">
        <f>#REF!</f>
        <v>#REF!</v>
      </c>
      <c r="Y36" s="68" t="e">
        <f>#REF!</f>
        <v>#REF!</v>
      </c>
      <c r="Z36" s="17" t="e">
        <f>#REF!</f>
        <v>#REF!</v>
      </c>
      <c r="AA36" s="3" t="e">
        <f>#REF!</f>
        <v>#REF!</v>
      </c>
      <c r="AB36" s="17" t="e">
        <f>#REF!</f>
        <v>#REF!</v>
      </c>
      <c r="AC36" s="3" t="e">
        <f>#REF!</f>
        <v>#REF!</v>
      </c>
      <c r="AD36" s="17" t="e">
        <f>#REF!</f>
        <v>#REF!</v>
      </c>
      <c r="AE36" s="17"/>
      <c r="AF36" s="29" t="e">
        <f>#REF!</f>
        <v>#REF!</v>
      </c>
      <c r="AG36" s="29" t="e">
        <f>#REF!</f>
        <v>#REF!</v>
      </c>
      <c r="AH36" s="29" t="e">
        <f>#REF!</f>
        <v>#REF!</v>
      </c>
      <c r="AI36" s="28" t="e">
        <f>#REF!</f>
        <v>#REF!</v>
      </c>
      <c r="AJ36" s="29" t="e">
        <f>#REF!</f>
        <v>#REF!</v>
      </c>
      <c r="AK36" s="29" t="e">
        <f>#REF!</f>
        <v>#REF!</v>
      </c>
      <c r="AL36" s="29"/>
      <c r="AM36" s="29"/>
      <c r="AN36" s="37"/>
      <c r="AO36" s="37"/>
      <c r="AP36" s="37"/>
      <c r="AQ36" s="37"/>
      <c r="AR36" s="37"/>
      <c r="AS36" s="39"/>
      <c r="AT36" s="54"/>
      <c r="AY36" s="278"/>
      <c r="AZ36" s="278"/>
      <c r="BA36" s="278"/>
      <c r="BB36" s="278"/>
    </row>
    <row r="37" spans="1:54">
      <c r="A37" s="6">
        <v>33</v>
      </c>
      <c r="B37" s="4" t="e">
        <f>#REF!</f>
        <v>#REF!</v>
      </c>
      <c r="C37" s="4" t="e">
        <f>#REF!</f>
        <v>#REF!</v>
      </c>
      <c r="D37" s="3" t="e">
        <f>#REF!</f>
        <v>#REF!</v>
      </c>
      <c r="E37" s="3" t="e">
        <f>#REF!</f>
        <v>#REF!</v>
      </c>
      <c r="F37" s="8" t="e">
        <f>#REF!</f>
        <v>#REF!</v>
      </c>
      <c r="G37" s="67" t="e">
        <f>#REF!</f>
        <v>#REF!</v>
      </c>
      <c r="H37" s="16" t="e">
        <f>#REF!</f>
        <v>#REF!</v>
      </c>
      <c r="I37" s="68" t="e">
        <f>#REF!</f>
        <v>#REF!</v>
      </c>
      <c r="J37" s="17" t="e">
        <f>#REF!</f>
        <v>#REF!</v>
      </c>
      <c r="K37" s="3" t="e">
        <f>#REF!</f>
        <v>#REF!</v>
      </c>
      <c r="L37" s="17" t="e">
        <f>#REF!</f>
        <v>#REF!</v>
      </c>
      <c r="M37" s="3" t="e">
        <f>#REF!</f>
        <v>#REF!</v>
      </c>
      <c r="N37" s="17" t="e">
        <f>#REF!</f>
        <v>#REF!</v>
      </c>
      <c r="O37" s="3" t="e">
        <f>#REF!</f>
        <v>#REF!</v>
      </c>
      <c r="P37" s="17" t="e">
        <f>#REF!</f>
        <v>#REF!</v>
      </c>
      <c r="Q37" s="3" t="e">
        <f>#REF!</f>
        <v>#REF!</v>
      </c>
      <c r="R37" s="17" t="e">
        <f>#REF!</f>
        <v>#REF!</v>
      </c>
      <c r="S37" s="3" t="e">
        <f>#REF!</f>
        <v>#REF!</v>
      </c>
      <c r="T37" s="17" t="e">
        <f>#REF!</f>
        <v>#REF!</v>
      </c>
      <c r="U37" s="3" t="e">
        <f>#REF!</f>
        <v>#REF!</v>
      </c>
      <c r="V37" s="17" t="e">
        <f>#REF!</f>
        <v>#REF!</v>
      </c>
      <c r="W37" s="68" t="e">
        <f>#REF!</f>
        <v>#REF!</v>
      </c>
      <c r="X37" s="16" t="e">
        <f>#REF!</f>
        <v>#REF!</v>
      </c>
      <c r="Y37" s="68" t="e">
        <f>#REF!</f>
        <v>#REF!</v>
      </c>
      <c r="Z37" s="17" t="e">
        <f>#REF!</f>
        <v>#REF!</v>
      </c>
      <c r="AA37" s="3" t="e">
        <f>#REF!</f>
        <v>#REF!</v>
      </c>
      <c r="AB37" s="17" t="e">
        <f>#REF!</f>
        <v>#REF!</v>
      </c>
      <c r="AC37" s="3" t="e">
        <f>#REF!</f>
        <v>#REF!</v>
      </c>
      <c r="AD37" s="17" t="e">
        <f>#REF!</f>
        <v>#REF!</v>
      </c>
      <c r="AE37" s="17"/>
      <c r="AF37" s="29" t="e">
        <f>#REF!</f>
        <v>#REF!</v>
      </c>
      <c r="AG37" s="29" t="e">
        <f>#REF!</f>
        <v>#REF!</v>
      </c>
      <c r="AH37" s="29" t="e">
        <f>#REF!</f>
        <v>#REF!</v>
      </c>
      <c r="AI37" s="28" t="e">
        <f>#REF!</f>
        <v>#REF!</v>
      </c>
      <c r="AJ37" s="29" t="e">
        <f>#REF!</f>
        <v>#REF!</v>
      </c>
      <c r="AK37" s="29" t="e">
        <f>#REF!</f>
        <v>#REF!</v>
      </c>
      <c r="AL37" s="29"/>
      <c r="AM37" s="29"/>
      <c r="AN37" s="37"/>
      <c r="AO37" s="37"/>
      <c r="AP37" s="37"/>
      <c r="AQ37" s="37"/>
      <c r="AR37" s="37"/>
      <c r="AS37" s="39"/>
      <c r="AT37" s="54"/>
      <c r="AY37" s="278"/>
      <c r="AZ37" s="278"/>
      <c r="BA37" s="278"/>
      <c r="BB37" s="278"/>
    </row>
    <row r="38" spans="1:54" ht="15.6" customHeight="1">
      <c r="A38" s="7">
        <v>34</v>
      </c>
      <c r="B38" s="4" t="e">
        <f>#REF!</f>
        <v>#REF!</v>
      </c>
      <c r="C38" s="4" t="e">
        <f>#REF!</f>
        <v>#REF!</v>
      </c>
      <c r="D38" s="3" t="e">
        <f>#REF!</f>
        <v>#REF!</v>
      </c>
      <c r="E38" s="3" t="e">
        <f>#REF!</f>
        <v>#REF!</v>
      </c>
      <c r="F38" s="8" t="e">
        <f>#REF!</f>
        <v>#REF!</v>
      </c>
      <c r="G38" s="67" t="e">
        <f>#REF!</f>
        <v>#REF!</v>
      </c>
      <c r="H38" s="16" t="e">
        <f>#REF!</f>
        <v>#REF!</v>
      </c>
      <c r="I38" s="68" t="e">
        <f>#REF!</f>
        <v>#REF!</v>
      </c>
      <c r="J38" s="17" t="e">
        <f>#REF!</f>
        <v>#REF!</v>
      </c>
      <c r="K38" s="3" t="e">
        <f>#REF!</f>
        <v>#REF!</v>
      </c>
      <c r="L38" s="17" t="e">
        <f>#REF!</f>
        <v>#REF!</v>
      </c>
      <c r="M38" s="3" t="e">
        <f>#REF!</f>
        <v>#REF!</v>
      </c>
      <c r="N38" s="17" t="e">
        <f>#REF!</f>
        <v>#REF!</v>
      </c>
      <c r="O38" s="3" t="e">
        <f>#REF!</f>
        <v>#REF!</v>
      </c>
      <c r="P38" s="17" t="e">
        <f>#REF!</f>
        <v>#REF!</v>
      </c>
      <c r="Q38" s="3" t="e">
        <f>#REF!</f>
        <v>#REF!</v>
      </c>
      <c r="R38" s="17" t="e">
        <f>#REF!</f>
        <v>#REF!</v>
      </c>
      <c r="S38" s="3" t="e">
        <f>#REF!</f>
        <v>#REF!</v>
      </c>
      <c r="T38" s="17" t="e">
        <f>#REF!</f>
        <v>#REF!</v>
      </c>
      <c r="U38" s="3" t="e">
        <f>#REF!</f>
        <v>#REF!</v>
      </c>
      <c r="V38" s="17" t="e">
        <f>#REF!</f>
        <v>#REF!</v>
      </c>
      <c r="W38" s="68" t="e">
        <f>#REF!</f>
        <v>#REF!</v>
      </c>
      <c r="X38" s="16" t="e">
        <f>#REF!</f>
        <v>#REF!</v>
      </c>
      <c r="Y38" s="68" t="e">
        <f>#REF!</f>
        <v>#REF!</v>
      </c>
      <c r="Z38" s="17" t="e">
        <f>#REF!</f>
        <v>#REF!</v>
      </c>
      <c r="AA38" s="3" t="e">
        <f>#REF!</f>
        <v>#REF!</v>
      </c>
      <c r="AB38" s="17" t="e">
        <f>#REF!</f>
        <v>#REF!</v>
      </c>
      <c r="AC38" s="3" t="e">
        <f>#REF!</f>
        <v>#REF!</v>
      </c>
      <c r="AD38" s="17" t="e">
        <f>#REF!</f>
        <v>#REF!</v>
      </c>
      <c r="AE38" s="17"/>
      <c r="AF38" s="29" t="e">
        <f>#REF!</f>
        <v>#REF!</v>
      </c>
      <c r="AG38" s="29" t="e">
        <f>#REF!</f>
        <v>#REF!</v>
      </c>
      <c r="AH38" s="29" t="e">
        <f>#REF!</f>
        <v>#REF!</v>
      </c>
      <c r="AI38" s="28" t="e">
        <f>#REF!</f>
        <v>#REF!</v>
      </c>
      <c r="AJ38" s="29" t="e">
        <f>#REF!</f>
        <v>#REF!</v>
      </c>
      <c r="AK38" s="29" t="e">
        <f>#REF!</f>
        <v>#REF!</v>
      </c>
      <c r="AL38" s="29"/>
      <c r="AM38" s="29"/>
      <c r="AN38" s="37"/>
      <c r="AO38" s="37"/>
      <c r="AP38" s="37"/>
      <c r="AQ38" s="37"/>
      <c r="AR38" s="37"/>
      <c r="AS38" s="39"/>
      <c r="AT38" s="54"/>
      <c r="AY38" s="278"/>
      <c r="AZ38" s="278"/>
      <c r="BA38" s="278"/>
      <c r="BB38" s="278"/>
    </row>
    <row r="39" spans="1:54" ht="15.6" customHeight="1">
      <c r="A39" s="6">
        <v>35</v>
      </c>
      <c r="B39" s="4" t="e">
        <f>#REF!</f>
        <v>#REF!</v>
      </c>
      <c r="C39" s="4" t="e">
        <f>#REF!</f>
        <v>#REF!</v>
      </c>
      <c r="D39" s="3" t="e">
        <f>#REF!</f>
        <v>#REF!</v>
      </c>
      <c r="E39" s="3" t="e">
        <f>#REF!</f>
        <v>#REF!</v>
      </c>
      <c r="F39" s="8" t="e">
        <f>#REF!</f>
        <v>#REF!</v>
      </c>
      <c r="G39" s="67" t="e">
        <f>#REF!</f>
        <v>#REF!</v>
      </c>
      <c r="H39" s="16" t="e">
        <f>#REF!</f>
        <v>#REF!</v>
      </c>
      <c r="I39" s="68" t="e">
        <f>#REF!</f>
        <v>#REF!</v>
      </c>
      <c r="J39" s="17" t="e">
        <f>#REF!</f>
        <v>#REF!</v>
      </c>
      <c r="K39" s="3" t="e">
        <f>#REF!</f>
        <v>#REF!</v>
      </c>
      <c r="L39" s="17" t="e">
        <f>#REF!</f>
        <v>#REF!</v>
      </c>
      <c r="M39" s="3" t="e">
        <f>#REF!</f>
        <v>#REF!</v>
      </c>
      <c r="N39" s="17" t="e">
        <f>#REF!</f>
        <v>#REF!</v>
      </c>
      <c r="O39" s="3" t="e">
        <f>#REF!</f>
        <v>#REF!</v>
      </c>
      <c r="P39" s="17" t="e">
        <f>#REF!</f>
        <v>#REF!</v>
      </c>
      <c r="Q39" s="3" t="e">
        <f>#REF!</f>
        <v>#REF!</v>
      </c>
      <c r="R39" s="17" t="e">
        <f>#REF!</f>
        <v>#REF!</v>
      </c>
      <c r="S39" s="3" t="e">
        <f>#REF!</f>
        <v>#REF!</v>
      </c>
      <c r="T39" s="17" t="e">
        <f>#REF!</f>
        <v>#REF!</v>
      </c>
      <c r="U39" s="3" t="e">
        <f>#REF!</f>
        <v>#REF!</v>
      </c>
      <c r="V39" s="17" t="e">
        <f>#REF!</f>
        <v>#REF!</v>
      </c>
      <c r="W39" s="68" t="e">
        <f>#REF!</f>
        <v>#REF!</v>
      </c>
      <c r="X39" s="16" t="e">
        <f>#REF!</f>
        <v>#REF!</v>
      </c>
      <c r="Y39" s="68" t="e">
        <f>#REF!</f>
        <v>#REF!</v>
      </c>
      <c r="Z39" s="17" t="e">
        <f>#REF!</f>
        <v>#REF!</v>
      </c>
      <c r="AA39" s="3" t="e">
        <f>#REF!</f>
        <v>#REF!</v>
      </c>
      <c r="AB39" s="17" t="e">
        <f>#REF!</f>
        <v>#REF!</v>
      </c>
      <c r="AC39" s="3" t="e">
        <f>#REF!</f>
        <v>#REF!</v>
      </c>
      <c r="AD39" s="17" t="e">
        <f>#REF!</f>
        <v>#REF!</v>
      </c>
      <c r="AE39" s="17"/>
      <c r="AF39" s="29" t="e">
        <f>#REF!</f>
        <v>#REF!</v>
      </c>
      <c r="AG39" s="29" t="e">
        <f>#REF!</f>
        <v>#REF!</v>
      </c>
      <c r="AH39" s="29" t="e">
        <f>#REF!</f>
        <v>#REF!</v>
      </c>
      <c r="AI39" s="28" t="e">
        <f>#REF!</f>
        <v>#REF!</v>
      </c>
      <c r="AJ39" s="29" t="e">
        <f>#REF!</f>
        <v>#REF!</v>
      </c>
      <c r="AK39" s="29" t="e">
        <f>#REF!</f>
        <v>#REF!</v>
      </c>
      <c r="AL39" s="29"/>
      <c r="AM39" s="29"/>
      <c r="AN39" s="37"/>
      <c r="AO39" s="37"/>
      <c r="AP39" s="37"/>
      <c r="AQ39" s="37"/>
      <c r="AR39" s="37"/>
      <c r="AS39" s="39"/>
      <c r="AT39" s="54"/>
      <c r="AY39" s="278"/>
      <c r="AZ39" s="278"/>
      <c r="BA39" s="278"/>
      <c r="BB39" s="278"/>
    </row>
    <row r="40" spans="1:54" ht="15.6" customHeight="1">
      <c r="A40" s="7">
        <v>36</v>
      </c>
      <c r="B40" s="67" t="s">
        <v>105</v>
      </c>
      <c r="G40" s="67" t="e">
        <f>#REF!</f>
        <v>#REF!</v>
      </c>
      <c r="H40" s="16" t="e">
        <f>#REF!</f>
        <v>#REF!</v>
      </c>
      <c r="I40" s="68" t="e">
        <f>#REF!</f>
        <v>#REF!</v>
      </c>
      <c r="J40" s="17" t="e">
        <f>#REF!</f>
        <v>#REF!</v>
      </c>
      <c r="K40" s="3" t="e">
        <f>#REF!</f>
        <v>#REF!</v>
      </c>
      <c r="L40" s="17" t="e">
        <f>#REF!</f>
        <v>#REF!</v>
      </c>
      <c r="M40" s="3" t="e">
        <f>#REF!</f>
        <v>#REF!</v>
      </c>
      <c r="N40" s="17" t="e">
        <f>#REF!</f>
        <v>#REF!</v>
      </c>
      <c r="O40" s="3" t="e">
        <f>#REF!</f>
        <v>#REF!</v>
      </c>
      <c r="P40" s="17" t="e">
        <f>#REF!</f>
        <v>#REF!</v>
      </c>
      <c r="Q40" s="3" t="e">
        <f>#REF!</f>
        <v>#REF!</v>
      </c>
      <c r="R40" s="17" t="e">
        <f>#REF!</f>
        <v>#REF!</v>
      </c>
      <c r="S40" s="3" t="e">
        <f>#REF!</f>
        <v>#REF!</v>
      </c>
      <c r="T40" s="17" t="e">
        <f>#REF!</f>
        <v>#REF!</v>
      </c>
      <c r="U40" s="3" t="e">
        <f>#REF!</f>
        <v>#REF!</v>
      </c>
      <c r="V40" s="17" t="e">
        <f>#REF!</f>
        <v>#REF!</v>
      </c>
      <c r="W40" s="68" t="e">
        <f>#REF!</f>
        <v>#REF!</v>
      </c>
      <c r="X40" s="16" t="e">
        <f>#REF!</f>
        <v>#REF!</v>
      </c>
      <c r="Y40" s="68" t="e">
        <f>#REF!</f>
        <v>#REF!</v>
      </c>
      <c r="Z40" s="17" t="e">
        <f>#REF!</f>
        <v>#REF!</v>
      </c>
      <c r="AA40" s="3" t="e">
        <f>#REF!</f>
        <v>#REF!</v>
      </c>
      <c r="AB40" s="17" t="e">
        <f>#REF!</f>
        <v>#REF!</v>
      </c>
      <c r="AC40" s="3" t="e">
        <f>#REF!</f>
        <v>#REF!</v>
      </c>
      <c r="AD40" s="17" t="e">
        <f>#REF!</f>
        <v>#REF!</v>
      </c>
      <c r="AE40" s="17"/>
      <c r="AF40" s="29" t="e">
        <f>#REF!</f>
        <v>#REF!</v>
      </c>
      <c r="AG40" s="29" t="e">
        <f>#REF!</f>
        <v>#REF!</v>
      </c>
      <c r="AH40" s="29" t="e">
        <f>#REF!</f>
        <v>#REF!</v>
      </c>
      <c r="AI40" s="28" t="e">
        <f>#REF!</f>
        <v>#REF!</v>
      </c>
      <c r="AJ40" s="29" t="e">
        <f>#REF!</f>
        <v>#REF!</v>
      </c>
      <c r="AK40" s="29" t="e">
        <f>#REF!</f>
        <v>#REF!</v>
      </c>
      <c r="AL40" s="29"/>
      <c r="AM40" s="29"/>
      <c r="AN40" s="37"/>
      <c r="AO40" s="37"/>
      <c r="AP40" s="37"/>
      <c r="AQ40" s="37"/>
      <c r="AR40" s="37"/>
      <c r="AS40" s="39"/>
      <c r="AT40" s="54"/>
      <c r="AY40" s="278"/>
      <c r="AZ40" s="278"/>
      <c r="BA40" s="278"/>
      <c r="BB40" s="278"/>
    </row>
    <row r="41" spans="1:54" ht="15.6" customHeight="1">
      <c r="A41" s="6">
        <v>37</v>
      </c>
      <c r="B41" s="4" t="e">
        <f>#REF!</f>
        <v>#REF!</v>
      </c>
      <c r="C41" s="4" t="e">
        <f>#REF!</f>
        <v>#REF!</v>
      </c>
      <c r="D41" s="3" t="e">
        <f>#REF!</f>
        <v>#REF!</v>
      </c>
      <c r="E41" s="3" t="e">
        <f>#REF!</f>
        <v>#REF!</v>
      </c>
      <c r="F41" s="8" t="e">
        <f>#REF!</f>
        <v>#REF!</v>
      </c>
      <c r="G41" s="67" t="e">
        <f>#REF!</f>
        <v>#REF!</v>
      </c>
      <c r="H41" s="16" t="e">
        <f>#REF!</f>
        <v>#REF!</v>
      </c>
      <c r="I41" s="68" t="e">
        <f>#REF!</f>
        <v>#REF!</v>
      </c>
      <c r="J41" s="17" t="e">
        <f>#REF!</f>
        <v>#REF!</v>
      </c>
      <c r="K41" s="3" t="e">
        <f>#REF!</f>
        <v>#REF!</v>
      </c>
      <c r="L41" s="17" t="e">
        <f>#REF!</f>
        <v>#REF!</v>
      </c>
      <c r="M41" s="3" t="e">
        <f>#REF!</f>
        <v>#REF!</v>
      </c>
      <c r="N41" s="17" t="e">
        <f>#REF!</f>
        <v>#REF!</v>
      </c>
      <c r="O41" s="3" t="e">
        <f>#REF!</f>
        <v>#REF!</v>
      </c>
      <c r="P41" s="17" t="e">
        <f>#REF!</f>
        <v>#REF!</v>
      </c>
      <c r="Q41" s="3" t="e">
        <f>#REF!</f>
        <v>#REF!</v>
      </c>
      <c r="R41" s="17" t="e">
        <f>#REF!</f>
        <v>#REF!</v>
      </c>
      <c r="S41" s="3" t="e">
        <f>#REF!</f>
        <v>#REF!</v>
      </c>
      <c r="T41" s="17" t="e">
        <f>#REF!</f>
        <v>#REF!</v>
      </c>
      <c r="U41" s="3" t="e">
        <f>#REF!</f>
        <v>#REF!</v>
      </c>
      <c r="V41" s="17" t="e">
        <f>#REF!</f>
        <v>#REF!</v>
      </c>
      <c r="W41" s="68" t="e">
        <f>#REF!</f>
        <v>#REF!</v>
      </c>
      <c r="X41" s="16" t="e">
        <f>#REF!</f>
        <v>#REF!</v>
      </c>
      <c r="Y41" s="68" t="e">
        <f>#REF!</f>
        <v>#REF!</v>
      </c>
      <c r="Z41" s="17" t="e">
        <f>#REF!</f>
        <v>#REF!</v>
      </c>
      <c r="AA41" s="3" t="e">
        <f>#REF!</f>
        <v>#REF!</v>
      </c>
      <c r="AB41" s="17" t="e">
        <f>#REF!</f>
        <v>#REF!</v>
      </c>
      <c r="AC41" s="3" t="e">
        <f>#REF!</f>
        <v>#REF!</v>
      </c>
      <c r="AD41" s="17" t="e">
        <f>#REF!</f>
        <v>#REF!</v>
      </c>
      <c r="AE41" s="17"/>
      <c r="AF41" s="29" t="e">
        <f>#REF!</f>
        <v>#REF!</v>
      </c>
      <c r="AG41" s="29" t="e">
        <f>#REF!</f>
        <v>#REF!</v>
      </c>
      <c r="AH41" s="29" t="e">
        <f>#REF!</f>
        <v>#REF!</v>
      </c>
      <c r="AI41" s="28" t="e">
        <f>#REF!</f>
        <v>#REF!</v>
      </c>
      <c r="AJ41" s="29" t="e">
        <f>#REF!</f>
        <v>#REF!</v>
      </c>
      <c r="AK41" s="29" t="e">
        <f>#REF!</f>
        <v>#REF!</v>
      </c>
      <c r="AL41" s="29"/>
      <c r="AM41" s="29"/>
      <c r="AN41" s="37"/>
      <c r="AO41" s="37"/>
      <c r="AP41" s="37"/>
      <c r="AQ41" s="37"/>
      <c r="AR41" s="37"/>
      <c r="AS41" s="39"/>
      <c r="AT41" s="54"/>
      <c r="AY41" s="278"/>
      <c r="AZ41" s="278"/>
      <c r="BA41" s="278"/>
      <c r="BB41" s="278"/>
    </row>
    <row r="42" spans="1:54" ht="15.6" customHeight="1">
      <c r="A42" s="7">
        <v>38</v>
      </c>
      <c r="B42" s="4" t="e">
        <f>#REF!</f>
        <v>#REF!</v>
      </c>
      <c r="C42" s="4" t="e">
        <f>#REF!</f>
        <v>#REF!</v>
      </c>
      <c r="D42" s="3" t="e">
        <f>#REF!</f>
        <v>#REF!</v>
      </c>
      <c r="E42" s="3" t="e">
        <f>#REF!</f>
        <v>#REF!</v>
      </c>
      <c r="F42" s="8" t="e">
        <f>#REF!</f>
        <v>#REF!</v>
      </c>
      <c r="G42" s="67" t="e">
        <f>#REF!</f>
        <v>#REF!</v>
      </c>
      <c r="H42" s="16" t="e">
        <f>#REF!</f>
        <v>#REF!</v>
      </c>
      <c r="I42" s="68" t="e">
        <f>#REF!</f>
        <v>#REF!</v>
      </c>
      <c r="J42" s="17" t="e">
        <f>#REF!</f>
        <v>#REF!</v>
      </c>
      <c r="K42" s="3" t="e">
        <f>#REF!</f>
        <v>#REF!</v>
      </c>
      <c r="L42" s="17" t="e">
        <f>#REF!</f>
        <v>#REF!</v>
      </c>
      <c r="M42" s="3" t="e">
        <f>#REF!</f>
        <v>#REF!</v>
      </c>
      <c r="N42" s="17" t="e">
        <f>#REF!</f>
        <v>#REF!</v>
      </c>
      <c r="O42" s="3" t="e">
        <f>#REF!</f>
        <v>#REF!</v>
      </c>
      <c r="P42" s="17" t="e">
        <f>#REF!</f>
        <v>#REF!</v>
      </c>
      <c r="Q42" s="3" t="e">
        <f>#REF!</f>
        <v>#REF!</v>
      </c>
      <c r="R42" s="17" t="e">
        <f>#REF!</f>
        <v>#REF!</v>
      </c>
      <c r="S42" s="3" t="e">
        <f>#REF!</f>
        <v>#REF!</v>
      </c>
      <c r="T42" s="17" t="e">
        <f>#REF!</f>
        <v>#REF!</v>
      </c>
      <c r="U42" s="3" t="e">
        <f>#REF!</f>
        <v>#REF!</v>
      </c>
      <c r="V42" s="17" t="e">
        <f>#REF!</f>
        <v>#REF!</v>
      </c>
      <c r="W42" s="68" t="e">
        <f>#REF!</f>
        <v>#REF!</v>
      </c>
      <c r="X42" s="16" t="e">
        <f>#REF!</f>
        <v>#REF!</v>
      </c>
      <c r="Y42" s="68" t="e">
        <f>#REF!</f>
        <v>#REF!</v>
      </c>
      <c r="Z42" s="17" t="e">
        <f>#REF!</f>
        <v>#REF!</v>
      </c>
      <c r="AA42" s="3" t="e">
        <f>#REF!</f>
        <v>#REF!</v>
      </c>
      <c r="AB42" s="17" t="e">
        <f>#REF!</f>
        <v>#REF!</v>
      </c>
      <c r="AC42" s="3" t="e">
        <f>#REF!</f>
        <v>#REF!</v>
      </c>
      <c r="AD42" s="17" t="e">
        <f>#REF!</f>
        <v>#REF!</v>
      </c>
      <c r="AE42" s="17"/>
      <c r="AF42" s="29" t="e">
        <f>#REF!</f>
        <v>#REF!</v>
      </c>
      <c r="AG42" s="29" t="e">
        <f>#REF!</f>
        <v>#REF!</v>
      </c>
      <c r="AH42" s="29" t="e">
        <f>#REF!</f>
        <v>#REF!</v>
      </c>
      <c r="AI42" s="28" t="e">
        <f>#REF!</f>
        <v>#REF!</v>
      </c>
      <c r="AJ42" s="29" t="e">
        <f>#REF!</f>
        <v>#REF!</v>
      </c>
      <c r="AK42" s="29" t="e">
        <f>#REF!</f>
        <v>#REF!</v>
      </c>
      <c r="AL42" s="29"/>
      <c r="AM42" s="29"/>
      <c r="AN42" s="37"/>
      <c r="AO42" s="37"/>
      <c r="AP42" s="37"/>
      <c r="AQ42" s="37"/>
      <c r="AR42" s="37"/>
      <c r="AS42" s="39"/>
      <c r="AT42" s="54"/>
      <c r="AY42" s="278"/>
      <c r="AZ42" s="278"/>
      <c r="BA42" s="278"/>
      <c r="BB42" s="278"/>
    </row>
    <row r="43" spans="1:54" ht="15.6" customHeight="1">
      <c r="A43" s="6">
        <v>39</v>
      </c>
      <c r="B43" s="4" t="e">
        <f>#REF!</f>
        <v>#REF!</v>
      </c>
      <c r="C43" s="4" t="e">
        <f>#REF!</f>
        <v>#REF!</v>
      </c>
      <c r="D43" s="3" t="e">
        <f>#REF!</f>
        <v>#REF!</v>
      </c>
      <c r="E43" s="3" t="e">
        <f>#REF!</f>
        <v>#REF!</v>
      </c>
      <c r="F43" s="8" t="e">
        <f>#REF!</f>
        <v>#REF!</v>
      </c>
      <c r="G43" s="67" t="e">
        <f>#REF!</f>
        <v>#REF!</v>
      </c>
      <c r="H43" s="16" t="e">
        <f>#REF!</f>
        <v>#REF!</v>
      </c>
      <c r="I43" s="68" t="e">
        <f>#REF!</f>
        <v>#REF!</v>
      </c>
      <c r="J43" s="17" t="e">
        <f>#REF!</f>
        <v>#REF!</v>
      </c>
      <c r="K43" s="3" t="e">
        <f>#REF!</f>
        <v>#REF!</v>
      </c>
      <c r="L43" s="17" t="e">
        <f>#REF!</f>
        <v>#REF!</v>
      </c>
      <c r="M43" s="3" t="e">
        <f>#REF!</f>
        <v>#REF!</v>
      </c>
      <c r="N43" s="17" t="e">
        <f>#REF!</f>
        <v>#REF!</v>
      </c>
      <c r="O43" s="3" t="e">
        <f>#REF!</f>
        <v>#REF!</v>
      </c>
      <c r="P43" s="17" t="e">
        <f>#REF!</f>
        <v>#REF!</v>
      </c>
      <c r="Q43" s="3" t="e">
        <f>#REF!</f>
        <v>#REF!</v>
      </c>
      <c r="R43" s="17" t="e">
        <f>#REF!</f>
        <v>#REF!</v>
      </c>
      <c r="S43" s="3" t="e">
        <f>#REF!</f>
        <v>#REF!</v>
      </c>
      <c r="T43" s="17" t="e">
        <f>#REF!</f>
        <v>#REF!</v>
      </c>
      <c r="U43" s="3" t="e">
        <f>#REF!</f>
        <v>#REF!</v>
      </c>
      <c r="V43" s="17" t="e">
        <f>#REF!</f>
        <v>#REF!</v>
      </c>
      <c r="W43" s="68" t="e">
        <f>#REF!</f>
        <v>#REF!</v>
      </c>
      <c r="X43" s="16" t="e">
        <f>#REF!</f>
        <v>#REF!</v>
      </c>
      <c r="Y43" s="68" t="e">
        <f>#REF!</f>
        <v>#REF!</v>
      </c>
      <c r="Z43" s="17" t="e">
        <f>#REF!</f>
        <v>#REF!</v>
      </c>
      <c r="AA43" s="3" t="e">
        <f>#REF!</f>
        <v>#REF!</v>
      </c>
      <c r="AB43" s="17" t="e">
        <f>#REF!</f>
        <v>#REF!</v>
      </c>
      <c r="AC43" s="3" t="e">
        <f>#REF!</f>
        <v>#REF!</v>
      </c>
      <c r="AD43" s="17" t="e">
        <f>#REF!</f>
        <v>#REF!</v>
      </c>
      <c r="AE43" s="17"/>
      <c r="AF43" s="29" t="e">
        <f>#REF!</f>
        <v>#REF!</v>
      </c>
      <c r="AG43" s="29" t="e">
        <f>#REF!</f>
        <v>#REF!</v>
      </c>
      <c r="AH43" s="29" t="e">
        <f>#REF!</f>
        <v>#REF!</v>
      </c>
      <c r="AI43" s="28" t="e">
        <f>#REF!</f>
        <v>#REF!</v>
      </c>
      <c r="AJ43" s="29" t="e">
        <f>#REF!</f>
        <v>#REF!</v>
      </c>
      <c r="AK43" s="29" t="e">
        <f>#REF!</f>
        <v>#REF!</v>
      </c>
      <c r="AL43" s="29"/>
      <c r="AM43" s="29"/>
      <c r="AN43" s="37"/>
      <c r="AO43" s="37"/>
      <c r="AP43" s="37"/>
      <c r="AQ43" s="37"/>
      <c r="AR43" s="37"/>
      <c r="AS43" s="39"/>
      <c r="AT43" s="54"/>
      <c r="AY43" s="278"/>
      <c r="AZ43" s="278"/>
      <c r="BA43" s="278"/>
      <c r="BB43" s="278"/>
    </row>
    <row r="44" spans="1:54" ht="15.6" customHeight="1">
      <c r="A44" s="7">
        <v>40</v>
      </c>
      <c r="B44" s="4" t="e">
        <f>#REF!</f>
        <v>#REF!</v>
      </c>
      <c r="C44" s="4" t="e">
        <f>#REF!</f>
        <v>#REF!</v>
      </c>
      <c r="D44" s="3" t="e">
        <f>#REF!</f>
        <v>#REF!</v>
      </c>
      <c r="E44" s="3" t="e">
        <f>#REF!</f>
        <v>#REF!</v>
      </c>
      <c r="F44" s="8" t="e">
        <f>#REF!</f>
        <v>#REF!</v>
      </c>
      <c r="G44" s="67" t="e">
        <f>#REF!</f>
        <v>#REF!</v>
      </c>
      <c r="H44" s="16" t="e">
        <f>#REF!</f>
        <v>#REF!</v>
      </c>
      <c r="I44" s="68" t="e">
        <f>#REF!</f>
        <v>#REF!</v>
      </c>
      <c r="J44" s="17" t="e">
        <f>#REF!</f>
        <v>#REF!</v>
      </c>
      <c r="K44" s="3" t="e">
        <f>#REF!</f>
        <v>#REF!</v>
      </c>
      <c r="L44" s="17" t="e">
        <f>#REF!</f>
        <v>#REF!</v>
      </c>
      <c r="M44" s="3" t="e">
        <f>#REF!</f>
        <v>#REF!</v>
      </c>
      <c r="N44" s="17" t="e">
        <f>#REF!</f>
        <v>#REF!</v>
      </c>
      <c r="O44" s="3" t="e">
        <f>#REF!</f>
        <v>#REF!</v>
      </c>
      <c r="P44" s="17" t="e">
        <f>#REF!</f>
        <v>#REF!</v>
      </c>
      <c r="Q44" s="3" t="e">
        <f>#REF!</f>
        <v>#REF!</v>
      </c>
      <c r="R44" s="17" t="e">
        <f>#REF!</f>
        <v>#REF!</v>
      </c>
      <c r="S44" s="3" t="e">
        <f>#REF!</f>
        <v>#REF!</v>
      </c>
      <c r="T44" s="17" t="e">
        <f>#REF!</f>
        <v>#REF!</v>
      </c>
      <c r="U44" s="3" t="e">
        <f>#REF!</f>
        <v>#REF!</v>
      </c>
      <c r="V44" s="17" t="e">
        <f>#REF!</f>
        <v>#REF!</v>
      </c>
      <c r="W44" s="68" t="e">
        <f>#REF!</f>
        <v>#REF!</v>
      </c>
      <c r="X44" s="16" t="e">
        <f>#REF!</f>
        <v>#REF!</v>
      </c>
      <c r="Y44" s="68" t="e">
        <f>#REF!</f>
        <v>#REF!</v>
      </c>
      <c r="Z44" s="17" t="e">
        <f>#REF!</f>
        <v>#REF!</v>
      </c>
      <c r="AA44" s="3" t="e">
        <f>#REF!</f>
        <v>#REF!</v>
      </c>
      <c r="AB44" s="17" t="e">
        <f>#REF!</f>
        <v>#REF!</v>
      </c>
      <c r="AC44" s="3" t="e">
        <f>#REF!</f>
        <v>#REF!</v>
      </c>
      <c r="AD44" s="17" t="e">
        <f>#REF!</f>
        <v>#REF!</v>
      </c>
      <c r="AE44" s="17"/>
      <c r="AF44" s="29" t="e">
        <f>#REF!</f>
        <v>#REF!</v>
      </c>
      <c r="AG44" s="29" t="e">
        <f>#REF!</f>
        <v>#REF!</v>
      </c>
      <c r="AH44" s="29" t="e">
        <f>#REF!</f>
        <v>#REF!</v>
      </c>
      <c r="AI44" s="28" t="e">
        <f>#REF!</f>
        <v>#REF!</v>
      </c>
      <c r="AJ44" s="29" t="e">
        <f>#REF!</f>
        <v>#REF!</v>
      </c>
      <c r="AK44" s="29" t="e">
        <f>#REF!</f>
        <v>#REF!</v>
      </c>
      <c r="AL44" s="29"/>
      <c r="AM44" s="29"/>
      <c r="AN44" s="37"/>
      <c r="AO44" s="37"/>
      <c r="AP44" s="37"/>
      <c r="AQ44" s="37"/>
      <c r="AR44" s="37"/>
      <c r="AS44" s="39"/>
      <c r="AT44" s="54"/>
      <c r="AY44" s="278"/>
      <c r="AZ44" s="278"/>
      <c r="BA44" s="278"/>
      <c r="BB44" s="278"/>
    </row>
    <row r="45" spans="1:54" ht="15.6" customHeight="1">
      <c r="A45" s="6">
        <v>41</v>
      </c>
      <c r="B45" s="4" t="e">
        <f>#REF!</f>
        <v>#REF!</v>
      </c>
      <c r="C45" s="4" t="e">
        <f>#REF!</f>
        <v>#REF!</v>
      </c>
      <c r="D45" s="3" t="e">
        <f>#REF!</f>
        <v>#REF!</v>
      </c>
      <c r="E45" s="3" t="e">
        <f>#REF!</f>
        <v>#REF!</v>
      </c>
      <c r="F45" s="8" t="e">
        <f>#REF!</f>
        <v>#REF!</v>
      </c>
      <c r="G45" s="67" t="e">
        <f>#REF!</f>
        <v>#REF!</v>
      </c>
      <c r="H45" s="16" t="e">
        <f>#REF!</f>
        <v>#REF!</v>
      </c>
      <c r="I45" s="68" t="e">
        <f>#REF!</f>
        <v>#REF!</v>
      </c>
      <c r="J45" s="17" t="e">
        <f>#REF!</f>
        <v>#REF!</v>
      </c>
      <c r="K45" s="3" t="e">
        <f>#REF!</f>
        <v>#REF!</v>
      </c>
      <c r="L45" s="17" t="e">
        <f>#REF!</f>
        <v>#REF!</v>
      </c>
      <c r="M45" s="3" t="e">
        <f>#REF!</f>
        <v>#REF!</v>
      </c>
      <c r="N45" s="17" t="e">
        <f>#REF!</f>
        <v>#REF!</v>
      </c>
      <c r="O45" s="3" t="e">
        <f>#REF!</f>
        <v>#REF!</v>
      </c>
      <c r="P45" s="17" t="e">
        <f>#REF!</f>
        <v>#REF!</v>
      </c>
      <c r="Q45" s="3" t="e">
        <f>#REF!</f>
        <v>#REF!</v>
      </c>
      <c r="R45" s="17" t="e">
        <f>#REF!</f>
        <v>#REF!</v>
      </c>
      <c r="S45" s="3" t="e">
        <f>#REF!</f>
        <v>#REF!</v>
      </c>
      <c r="T45" s="17" t="e">
        <f>#REF!</f>
        <v>#REF!</v>
      </c>
      <c r="U45" s="3" t="e">
        <f>#REF!</f>
        <v>#REF!</v>
      </c>
      <c r="V45" s="17" t="e">
        <f>#REF!</f>
        <v>#REF!</v>
      </c>
      <c r="W45" s="68" t="e">
        <f>#REF!</f>
        <v>#REF!</v>
      </c>
      <c r="X45" s="16" t="e">
        <f>#REF!</f>
        <v>#REF!</v>
      </c>
      <c r="Y45" s="68" t="e">
        <f>#REF!</f>
        <v>#REF!</v>
      </c>
      <c r="Z45" s="17" t="e">
        <f>#REF!</f>
        <v>#REF!</v>
      </c>
      <c r="AA45" s="3" t="e">
        <f>#REF!</f>
        <v>#REF!</v>
      </c>
      <c r="AB45" s="17" t="e">
        <f>#REF!</f>
        <v>#REF!</v>
      </c>
      <c r="AC45" s="3" t="e">
        <f>#REF!</f>
        <v>#REF!</v>
      </c>
      <c r="AD45" s="17" t="e">
        <f>#REF!</f>
        <v>#REF!</v>
      </c>
      <c r="AE45" s="17"/>
      <c r="AF45" s="29" t="e">
        <f>#REF!</f>
        <v>#REF!</v>
      </c>
      <c r="AG45" s="29" t="e">
        <f>#REF!</f>
        <v>#REF!</v>
      </c>
      <c r="AH45" s="29" t="e">
        <f>#REF!</f>
        <v>#REF!</v>
      </c>
      <c r="AI45" s="28" t="e">
        <f>#REF!</f>
        <v>#REF!</v>
      </c>
      <c r="AJ45" s="29" t="e">
        <f>#REF!</f>
        <v>#REF!</v>
      </c>
      <c r="AK45" s="29" t="e">
        <f>#REF!</f>
        <v>#REF!</v>
      </c>
      <c r="AL45" s="29"/>
      <c r="AM45" s="29"/>
      <c r="AN45" s="37"/>
      <c r="AO45" s="37"/>
      <c r="AP45" s="37"/>
      <c r="AQ45" s="37"/>
      <c r="AR45" s="37"/>
      <c r="AS45" s="39"/>
      <c r="AT45" s="54"/>
      <c r="AY45" s="278"/>
      <c r="AZ45" s="278"/>
      <c r="BA45" s="278"/>
      <c r="BB45" s="278"/>
    </row>
    <row r="46" spans="1:54" ht="15.6" customHeight="1">
      <c r="A46" s="7">
        <v>42</v>
      </c>
      <c r="B46" s="4" t="e">
        <f>#REF!</f>
        <v>#REF!</v>
      </c>
      <c r="C46" s="4" t="e">
        <f>#REF!</f>
        <v>#REF!</v>
      </c>
      <c r="D46" s="3" t="e">
        <f>#REF!</f>
        <v>#REF!</v>
      </c>
      <c r="E46" s="3" t="e">
        <f>#REF!</f>
        <v>#REF!</v>
      </c>
      <c r="F46" s="8" t="e">
        <f>#REF!</f>
        <v>#REF!</v>
      </c>
      <c r="G46" s="67" t="e">
        <f>#REF!</f>
        <v>#REF!</v>
      </c>
      <c r="H46" s="16" t="e">
        <f>#REF!</f>
        <v>#REF!</v>
      </c>
      <c r="I46" s="68" t="e">
        <f>#REF!</f>
        <v>#REF!</v>
      </c>
      <c r="J46" s="17" t="e">
        <f>#REF!</f>
        <v>#REF!</v>
      </c>
      <c r="K46" s="3" t="e">
        <f>#REF!</f>
        <v>#REF!</v>
      </c>
      <c r="L46" s="17" t="e">
        <f>#REF!</f>
        <v>#REF!</v>
      </c>
      <c r="M46" s="3" t="e">
        <f>#REF!</f>
        <v>#REF!</v>
      </c>
      <c r="N46" s="17" t="e">
        <f>#REF!</f>
        <v>#REF!</v>
      </c>
      <c r="O46" s="3" t="e">
        <f>#REF!</f>
        <v>#REF!</v>
      </c>
      <c r="P46" s="17" t="e">
        <f>#REF!</f>
        <v>#REF!</v>
      </c>
      <c r="Q46" s="3" t="e">
        <f>#REF!</f>
        <v>#REF!</v>
      </c>
      <c r="R46" s="17" t="e">
        <f>#REF!</f>
        <v>#REF!</v>
      </c>
      <c r="S46" s="3" t="e">
        <f>#REF!</f>
        <v>#REF!</v>
      </c>
      <c r="T46" s="17" t="e">
        <f>#REF!</f>
        <v>#REF!</v>
      </c>
      <c r="U46" s="3" t="e">
        <f>#REF!</f>
        <v>#REF!</v>
      </c>
      <c r="V46" s="17" t="e">
        <f>#REF!</f>
        <v>#REF!</v>
      </c>
      <c r="W46" s="68" t="e">
        <f>#REF!</f>
        <v>#REF!</v>
      </c>
      <c r="X46" s="16" t="e">
        <f>#REF!</f>
        <v>#REF!</v>
      </c>
      <c r="Y46" s="68" t="e">
        <f>#REF!</f>
        <v>#REF!</v>
      </c>
      <c r="Z46" s="17" t="e">
        <f>#REF!</f>
        <v>#REF!</v>
      </c>
      <c r="AA46" s="3" t="e">
        <f>#REF!</f>
        <v>#REF!</v>
      </c>
      <c r="AB46" s="17" t="e">
        <f>#REF!</f>
        <v>#REF!</v>
      </c>
      <c r="AC46" s="3" t="e">
        <f>#REF!</f>
        <v>#REF!</v>
      </c>
      <c r="AD46" s="17" t="e">
        <f>#REF!</f>
        <v>#REF!</v>
      </c>
      <c r="AE46" s="17"/>
      <c r="AF46" s="29" t="e">
        <f>#REF!</f>
        <v>#REF!</v>
      </c>
      <c r="AG46" s="29" t="e">
        <f>#REF!</f>
        <v>#REF!</v>
      </c>
      <c r="AH46" s="29" t="e">
        <f>#REF!</f>
        <v>#REF!</v>
      </c>
      <c r="AI46" s="28" t="e">
        <f>#REF!</f>
        <v>#REF!</v>
      </c>
      <c r="AJ46" s="29" t="e">
        <f>#REF!</f>
        <v>#REF!</v>
      </c>
      <c r="AK46" s="29" t="e">
        <f>#REF!</f>
        <v>#REF!</v>
      </c>
      <c r="AL46" s="29"/>
      <c r="AM46" s="29"/>
      <c r="AN46" s="37"/>
      <c r="AO46" s="37"/>
      <c r="AP46" s="37"/>
      <c r="AQ46" s="37"/>
      <c r="AR46" s="37"/>
      <c r="AS46" s="39"/>
      <c r="AT46" s="54"/>
      <c r="AY46" s="278"/>
      <c r="AZ46" s="278"/>
      <c r="BA46" s="278"/>
      <c r="BB46" s="278"/>
    </row>
    <row r="47" spans="1:54" ht="15.6" customHeight="1">
      <c r="A47" s="6">
        <v>43</v>
      </c>
      <c r="B47" s="4" t="e">
        <f>#REF!</f>
        <v>#REF!</v>
      </c>
      <c r="C47" s="4" t="e">
        <f>#REF!</f>
        <v>#REF!</v>
      </c>
      <c r="D47" s="3" t="e">
        <f>#REF!</f>
        <v>#REF!</v>
      </c>
      <c r="E47" s="3" t="e">
        <f>#REF!</f>
        <v>#REF!</v>
      </c>
      <c r="F47" s="8" t="e">
        <f>#REF!</f>
        <v>#REF!</v>
      </c>
      <c r="G47" s="67" t="e">
        <f>#REF!</f>
        <v>#REF!</v>
      </c>
      <c r="H47" s="16" t="e">
        <f>#REF!</f>
        <v>#REF!</v>
      </c>
      <c r="I47" s="68" t="e">
        <f>#REF!</f>
        <v>#REF!</v>
      </c>
      <c r="J47" s="17" t="e">
        <f>#REF!</f>
        <v>#REF!</v>
      </c>
      <c r="K47" s="3" t="e">
        <f>#REF!</f>
        <v>#REF!</v>
      </c>
      <c r="L47" s="17" t="e">
        <f>#REF!</f>
        <v>#REF!</v>
      </c>
      <c r="M47" s="3" t="e">
        <f>#REF!</f>
        <v>#REF!</v>
      </c>
      <c r="N47" s="17" t="e">
        <f>#REF!</f>
        <v>#REF!</v>
      </c>
      <c r="O47" s="3" t="e">
        <f>#REF!</f>
        <v>#REF!</v>
      </c>
      <c r="P47" s="17" t="e">
        <f>#REF!</f>
        <v>#REF!</v>
      </c>
      <c r="Q47" s="3" t="e">
        <f>#REF!</f>
        <v>#REF!</v>
      </c>
      <c r="R47" s="17" t="e">
        <f>#REF!</f>
        <v>#REF!</v>
      </c>
      <c r="S47" s="3" t="e">
        <f>#REF!</f>
        <v>#REF!</v>
      </c>
      <c r="T47" s="17" t="e">
        <f>#REF!</f>
        <v>#REF!</v>
      </c>
      <c r="U47" s="3" t="e">
        <f>#REF!</f>
        <v>#REF!</v>
      </c>
      <c r="V47" s="17" t="e">
        <f>#REF!</f>
        <v>#REF!</v>
      </c>
      <c r="W47" s="68" t="e">
        <f>#REF!</f>
        <v>#REF!</v>
      </c>
      <c r="X47" s="16" t="e">
        <f>#REF!</f>
        <v>#REF!</v>
      </c>
      <c r="Y47" s="68" t="e">
        <f>#REF!</f>
        <v>#REF!</v>
      </c>
      <c r="Z47" s="17" t="e">
        <f>#REF!</f>
        <v>#REF!</v>
      </c>
      <c r="AA47" s="3" t="e">
        <f>#REF!</f>
        <v>#REF!</v>
      </c>
      <c r="AB47" s="17" t="e">
        <f>#REF!</f>
        <v>#REF!</v>
      </c>
      <c r="AC47" s="3" t="e">
        <f>#REF!</f>
        <v>#REF!</v>
      </c>
      <c r="AD47" s="17" t="e">
        <f>#REF!</f>
        <v>#REF!</v>
      </c>
      <c r="AE47" s="17"/>
      <c r="AF47" s="29" t="e">
        <f>#REF!</f>
        <v>#REF!</v>
      </c>
      <c r="AG47" s="29" t="e">
        <f>#REF!</f>
        <v>#REF!</v>
      </c>
      <c r="AH47" s="29" t="e">
        <f>#REF!</f>
        <v>#REF!</v>
      </c>
      <c r="AI47" s="28" t="e">
        <f>#REF!</f>
        <v>#REF!</v>
      </c>
      <c r="AJ47" s="29" t="e">
        <f>#REF!</f>
        <v>#REF!</v>
      </c>
      <c r="AK47" s="29" t="e">
        <f>#REF!</f>
        <v>#REF!</v>
      </c>
      <c r="AL47" s="29"/>
      <c r="AM47" s="29"/>
      <c r="AN47" s="37"/>
      <c r="AO47" s="37"/>
      <c r="AP47" s="37"/>
      <c r="AQ47" s="37"/>
      <c r="AR47" s="37"/>
      <c r="AS47" s="39"/>
      <c r="AT47" s="54"/>
      <c r="AY47" s="278"/>
      <c r="AZ47" s="278"/>
      <c r="BA47" s="278"/>
      <c r="BB47" s="278"/>
    </row>
    <row r="48" spans="1:54" ht="15.6" customHeight="1">
      <c r="A48" s="7">
        <v>44</v>
      </c>
      <c r="B48" s="4" t="e">
        <f>#REF!</f>
        <v>#REF!</v>
      </c>
      <c r="C48" s="4" t="e">
        <f>#REF!</f>
        <v>#REF!</v>
      </c>
      <c r="D48" s="3" t="e">
        <f>#REF!</f>
        <v>#REF!</v>
      </c>
      <c r="E48" s="3" t="e">
        <f>#REF!</f>
        <v>#REF!</v>
      </c>
      <c r="F48" s="8" t="e">
        <f>#REF!</f>
        <v>#REF!</v>
      </c>
      <c r="G48" s="67" t="e">
        <f>#REF!</f>
        <v>#REF!</v>
      </c>
      <c r="H48" s="16" t="e">
        <f>#REF!</f>
        <v>#REF!</v>
      </c>
      <c r="I48" s="68" t="e">
        <f>#REF!</f>
        <v>#REF!</v>
      </c>
      <c r="J48" s="17" t="e">
        <f>#REF!</f>
        <v>#REF!</v>
      </c>
      <c r="K48" s="3" t="e">
        <f>#REF!</f>
        <v>#REF!</v>
      </c>
      <c r="L48" s="17" t="e">
        <f>#REF!</f>
        <v>#REF!</v>
      </c>
      <c r="M48" s="3" t="e">
        <f>#REF!</f>
        <v>#REF!</v>
      </c>
      <c r="N48" s="17" t="e">
        <f>#REF!</f>
        <v>#REF!</v>
      </c>
      <c r="O48" s="3" t="e">
        <f>#REF!</f>
        <v>#REF!</v>
      </c>
      <c r="P48" s="17" t="e">
        <f>#REF!</f>
        <v>#REF!</v>
      </c>
      <c r="Q48" s="3" t="e">
        <f>#REF!</f>
        <v>#REF!</v>
      </c>
      <c r="R48" s="17" t="e">
        <f>#REF!</f>
        <v>#REF!</v>
      </c>
      <c r="S48" s="3" t="e">
        <f>#REF!</f>
        <v>#REF!</v>
      </c>
      <c r="T48" s="17" t="e">
        <f>#REF!</f>
        <v>#REF!</v>
      </c>
      <c r="U48" s="3" t="e">
        <f>#REF!</f>
        <v>#REF!</v>
      </c>
      <c r="V48" s="17" t="e">
        <f>#REF!</f>
        <v>#REF!</v>
      </c>
      <c r="W48" s="68" t="e">
        <f>#REF!</f>
        <v>#REF!</v>
      </c>
      <c r="X48" s="16" t="e">
        <f>#REF!</f>
        <v>#REF!</v>
      </c>
      <c r="Y48" s="68" t="e">
        <f>#REF!</f>
        <v>#REF!</v>
      </c>
      <c r="Z48" s="17" t="e">
        <f>#REF!</f>
        <v>#REF!</v>
      </c>
      <c r="AA48" s="3" t="e">
        <f>#REF!</f>
        <v>#REF!</v>
      </c>
      <c r="AB48" s="17" t="e">
        <f>#REF!</f>
        <v>#REF!</v>
      </c>
      <c r="AC48" s="3" t="e">
        <f>#REF!</f>
        <v>#REF!</v>
      </c>
      <c r="AD48" s="17" t="e">
        <f>#REF!</f>
        <v>#REF!</v>
      </c>
      <c r="AE48" s="17"/>
      <c r="AF48" s="29" t="e">
        <f>#REF!</f>
        <v>#REF!</v>
      </c>
      <c r="AG48" s="29" t="e">
        <f>#REF!</f>
        <v>#REF!</v>
      </c>
      <c r="AH48" s="29" t="e">
        <f>#REF!</f>
        <v>#REF!</v>
      </c>
      <c r="AI48" s="28" t="e">
        <f>#REF!</f>
        <v>#REF!</v>
      </c>
      <c r="AJ48" s="29" t="e">
        <f>#REF!</f>
        <v>#REF!</v>
      </c>
      <c r="AK48" s="29" t="e">
        <f>#REF!</f>
        <v>#REF!</v>
      </c>
      <c r="AL48" s="29"/>
      <c r="AM48" s="29"/>
      <c r="AN48" s="37"/>
      <c r="AO48" s="37"/>
      <c r="AP48" s="37"/>
      <c r="AQ48" s="37"/>
      <c r="AR48" s="37"/>
      <c r="AS48" s="39"/>
      <c r="AT48" s="54"/>
      <c r="AY48" s="278"/>
      <c r="AZ48" s="278"/>
      <c r="BA48" s="278"/>
      <c r="BB48" s="278"/>
    </row>
    <row r="49" spans="1:54" ht="15.6" customHeight="1">
      <c r="A49" s="6">
        <v>45</v>
      </c>
      <c r="B49" s="4" t="e">
        <f>#REF!</f>
        <v>#REF!</v>
      </c>
      <c r="C49" s="4" t="e">
        <f>#REF!</f>
        <v>#REF!</v>
      </c>
      <c r="D49" s="3" t="e">
        <f>#REF!</f>
        <v>#REF!</v>
      </c>
      <c r="E49" s="3" t="e">
        <f>#REF!</f>
        <v>#REF!</v>
      </c>
      <c r="F49" s="8" t="e">
        <f>#REF!</f>
        <v>#REF!</v>
      </c>
      <c r="G49" s="67" t="e">
        <f>#REF!</f>
        <v>#REF!</v>
      </c>
      <c r="H49" s="63"/>
      <c r="I49" s="68" t="e">
        <f>#REF!</f>
        <v>#REF!</v>
      </c>
      <c r="J49" s="64"/>
      <c r="K49" s="3" t="e">
        <f>#REF!</f>
        <v>#REF!</v>
      </c>
      <c r="L49" s="64"/>
      <c r="M49" s="3" t="e">
        <f>#REF!</f>
        <v>#REF!</v>
      </c>
      <c r="N49" s="64"/>
      <c r="O49" s="3" t="e">
        <f>#REF!</f>
        <v>#REF!</v>
      </c>
      <c r="P49" s="64"/>
      <c r="Q49" s="3" t="e">
        <f>#REF!</f>
        <v>#REF!</v>
      </c>
      <c r="R49" s="64"/>
      <c r="S49" s="3" t="e">
        <f>#REF!</f>
        <v>#REF!</v>
      </c>
      <c r="T49" s="64"/>
      <c r="U49" s="3" t="e">
        <f>#REF!</f>
        <v>#REF!</v>
      </c>
      <c r="V49" s="64"/>
      <c r="W49" s="68" t="e">
        <f>#REF!</f>
        <v>#REF!</v>
      </c>
      <c r="X49" s="63"/>
      <c r="Y49" s="68" t="e">
        <f>#REF!</f>
        <v>#REF!</v>
      </c>
      <c r="Z49" s="17" t="e">
        <f>#REF!</f>
        <v>#REF!</v>
      </c>
      <c r="AA49" s="3" t="e">
        <f>#REF!</f>
        <v>#REF!</v>
      </c>
      <c r="AB49" s="17" t="e">
        <f>#REF!</f>
        <v>#REF!</v>
      </c>
      <c r="AC49" s="3" t="e">
        <f>#REF!</f>
        <v>#REF!</v>
      </c>
      <c r="AD49" s="17" t="e">
        <f>#REF!</f>
        <v>#REF!</v>
      </c>
      <c r="AE49" s="17"/>
      <c r="AF49" s="29" t="e">
        <f>#REF!</f>
        <v>#REF!</v>
      </c>
      <c r="AG49" s="29" t="e">
        <f>#REF!</f>
        <v>#REF!</v>
      </c>
      <c r="AH49" s="29" t="e">
        <f>#REF!</f>
        <v>#REF!</v>
      </c>
      <c r="AI49" s="28" t="e">
        <f>#REF!</f>
        <v>#REF!</v>
      </c>
      <c r="AJ49" s="29" t="e">
        <f>#REF!</f>
        <v>#REF!</v>
      </c>
      <c r="AK49" s="29" t="e">
        <f>#REF!</f>
        <v>#REF!</v>
      </c>
      <c r="AL49" s="29"/>
      <c r="AM49" s="29"/>
      <c r="AN49" s="37"/>
      <c r="AO49" s="37"/>
      <c r="AP49" s="37"/>
      <c r="AQ49" s="37"/>
      <c r="AR49" s="37"/>
      <c r="AS49" s="39"/>
      <c r="AT49" s="54"/>
      <c r="AY49" s="278"/>
      <c r="AZ49" s="278"/>
      <c r="BA49" s="278"/>
      <c r="BB49" s="278"/>
    </row>
    <row r="50" spans="1:54" ht="15.6" customHeight="1">
      <c r="A50" s="7">
        <v>46</v>
      </c>
      <c r="B50" s="4" t="e">
        <f>#REF!</f>
        <v>#REF!</v>
      </c>
      <c r="C50" s="4" t="e">
        <f>#REF!</f>
        <v>#REF!</v>
      </c>
      <c r="D50" s="3" t="e">
        <f>#REF!</f>
        <v>#REF!</v>
      </c>
      <c r="E50" s="3" t="e">
        <f>#REF!</f>
        <v>#REF!</v>
      </c>
      <c r="F50" s="8" t="e">
        <f>#REF!</f>
        <v>#REF!</v>
      </c>
      <c r="G50" s="67" t="e">
        <f>#REF!</f>
        <v>#REF!</v>
      </c>
      <c r="H50" s="16" t="e">
        <f>#REF!</f>
        <v>#REF!</v>
      </c>
      <c r="I50" s="68" t="e">
        <f>#REF!</f>
        <v>#REF!</v>
      </c>
      <c r="J50" s="17" t="e">
        <f>#REF!</f>
        <v>#REF!</v>
      </c>
      <c r="K50" s="3" t="e">
        <f>#REF!</f>
        <v>#REF!</v>
      </c>
      <c r="L50" s="17" t="e">
        <f>#REF!</f>
        <v>#REF!</v>
      </c>
      <c r="M50" s="3" t="e">
        <f>#REF!</f>
        <v>#REF!</v>
      </c>
      <c r="N50" s="17" t="e">
        <f>#REF!</f>
        <v>#REF!</v>
      </c>
      <c r="O50" s="3" t="e">
        <f>#REF!</f>
        <v>#REF!</v>
      </c>
      <c r="P50" s="17" t="e">
        <f>#REF!</f>
        <v>#REF!</v>
      </c>
      <c r="Q50" s="3" t="e">
        <f>#REF!</f>
        <v>#REF!</v>
      </c>
      <c r="R50" s="17" t="e">
        <f>#REF!</f>
        <v>#REF!</v>
      </c>
      <c r="S50" s="3" t="e">
        <f>#REF!</f>
        <v>#REF!</v>
      </c>
      <c r="T50" s="17" t="e">
        <f>#REF!</f>
        <v>#REF!</v>
      </c>
      <c r="U50" s="3" t="e">
        <f>#REF!</f>
        <v>#REF!</v>
      </c>
      <c r="V50" s="17" t="e">
        <f>#REF!</f>
        <v>#REF!</v>
      </c>
      <c r="W50" s="68" t="e">
        <f>#REF!</f>
        <v>#REF!</v>
      </c>
      <c r="X50" s="16" t="e">
        <f>#REF!</f>
        <v>#REF!</v>
      </c>
      <c r="Y50" s="68" t="e">
        <f>#REF!</f>
        <v>#REF!</v>
      </c>
      <c r="Z50" s="17" t="e">
        <f>#REF!</f>
        <v>#REF!</v>
      </c>
      <c r="AA50" s="3" t="e">
        <f>#REF!</f>
        <v>#REF!</v>
      </c>
      <c r="AB50" s="17" t="e">
        <f>#REF!</f>
        <v>#REF!</v>
      </c>
      <c r="AC50" s="3" t="e">
        <f>#REF!</f>
        <v>#REF!</v>
      </c>
      <c r="AD50" s="17" t="e">
        <f>#REF!</f>
        <v>#REF!</v>
      </c>
      <c r="AE50" s="17"/>
      <c r="AF50" s="29" t="e">
        <f>#REF!</f>
        <v>#REF!</v>
      </c>
      <c r="AG50" s="29" t="e">
        <f>#REF!</f>
        <v>#REF!</v>
      </c>
      <c r="AH50" s="29" t="e">
        <f>#REF!</f>
        <v>#REF!</v>
      </c>
      <c r="AI50" s="28" t="e">
        <f>#REF!</f>
        <v>#REF!</v>
      </c>
      <c r="AJ50" s="29" t="e">
        <f>#REF!</f>
        <v>#REF!</v>
      </c>
      <c r="AK50" s="29" t="e">
        <f>#REF!</f>
        <v>#REF!</v>
      </c>
      <c r="AL50" s="29"/>
      <c r="AM50" s="29"/>
      <c r="AN50" s="37"/>
      <c r="AO50" s="37"/>
      <c r="AP50" s="37"/>
      <c r="AQ50" s="37"/>
      <c r="AR50" s="37"/>
      <c r="AS50" s="39"/>
      <c r="AT50" s="54"/>
      <c r="AY50" s="278"/>
      <c r="AZ50" s="278"/>
      <c r="BA50" s="278"/>
      <c r="BB50" s="278"/>
    </row>
    <row r="51" spans="1:54" ht="15.6" customHeight="1">
      <c r="A51" s="6">
        <v>47</v>
      </c>
      <c r="B51" s="4" t="e">
        <f>#REF!</f>
        <v>#REF!</v>
      </c>
      <c r="C51" s="4" t="e">
        <f>#REF!</f>
        <v>#REF!</v>
      </c>
      <c r="D51" s="3" t="e">
        <f>#REF!</f>
        <v>#REF!</v>
      </c>
      <c r="E51" s="3" t="e">
        <f>#REF!</f>
        <v>#REF!</v>
      </c>
      <c r="F51" s="8" t="e">
        <f>#REF!</f>
        <v>#REF!</v>
      </c>
      <c r="G51" s="67" t="e">
        <f>#REF!</f>
        <v>#REF!</v>
      </c>
      <c r="H51" s="16" t="e">
        <f>#REF!</f>
        <v>#REF!</v>
      </c>
      <c r="I51" s="68" t="e">
        <f>#REF!</f>
        <v>#REF!</v>
      </c>
      <c r="J51" s="17" t="e">
        <f>#REF!</f>
        <v>#REF!</v>
      </c>
      <c r="K51" s="3" t="e">
        <f>#REF!</f>
        <v>#REF!</v>
      </c>
      <c r="L51" s="17" t="e">
        <f>#REF!</f>
        <v>#REF!</v>
      </c>
      <c r="M51" s="3" t="e">
        <f>#REF!</f>
        <v>#REF!</v>
      </c>
      <c r="N51" s="17" t="e">
        <f>#REF!</f>
        <v>#REF!</v>
      </c>
      <c r="O51" s="3" t="e">
        <f>#REF!</f>
        <v>#REF!</v>
      </c>
      <c r="P51" s="17" t="e">
        <f>#REF!</f>
        <v>#REF!</v>
      </c>
      <c r="Q51" s="3" t="e">
        <f>#REF!</f>
        <v>#REF!</v>
      </c>
      <c r="R51" s="17" t="e">
        <f>#REF!</f>
        <v>#REF!</v>
      </c>
      <c r="S51" s="3" t="e">
        <f>#REF!</f>
        <v>#REF!</v>
      </c>
      <c r="T51" s="17" t="e">
        <f>#REF!</f>
        <v>#REF!</v>
      </c>
      <c r="U51" s="3" t="e">
        <f>#REF!</f>
        <v>#REF!</v>
      </c>
      <c r="V51" s="17" t="e">
        <f>#REF!</f>
        <v>#REF!</v>
      </c>
      <c r="W51" s="68" t="e">
        <f>#REF!</f>
        <v>#REF!</v>
      </c>
      <c r="X51" s="16" t="e">
        <f>#REF!</f>
        <v>#REF!</v>
      </c>
      <c r="Y51" s="68" t="e">
        <f>#REF!</f>
        <v>#REF!</v>
      </c>
      <c r="Z51" s="17" t="e">
        <f>#REF!</f>
        <v>#REF!</v>
      </c>
      <c r="AA51" s="3" t="e">
        <f>#REF!</f>
        <v>#REF!</v>
      </c>
      <c r="AB51" s="17" t="e">
        <f>#REF!</f>
        <v>#REF!</v>
      </c>
      <c r="AC51" s="3" t="e">
        <f>#REF!</f>
        <v>#REF!</v>
      </c>
      <c r="AD51" s="17" t="e">
        <f>#REF!</f>
        <v>#REF!</v>
      </c>
      <c r="AE51" s="17"/>
      <c r="AF51" s="29" t="e">
        <f>#REF!</f>
        <v>#REF!</v>
      </c>
      <c r="AG51" s="29" t="e">
        <f>#REF!</f>
        <v>#REF!</v>
      </c>
      <c r="AH51" s="29" t="e">
        <f>#REF!</f>
        <v>#REF!</v>
      </c>
      <c r="AI51" s="28" t="e">
        <f>#REF!</f>
        <v>#REF!</v>
      </c>
      <c r="AJ51" s="29" t="e">
        <f>#REF!</f>
        <v>#REF!</v>
      </c>
      <c r="AK51" s="29" t="e">
        <f>#REF!</f>
        <v>#REF!</v>
      </c>
      <c r="AL51" s="29"/>
      <c r="AM51" s="29"/>
      <c r="AN51" s="37"/>
      <c r="AO51" s="37"/>
      <c r="AP51" s="37"/>
      <c r="AQ51" s="37"/>
      <c r="AR51" s="37"/>
      <c r="AS51" s="39"/>
      <c r="AT51" s="54"/>
      <c r="AY51" s="278"/>
      <c r="AZ51" s="278"/>
      <c r="BA51" s="278"/>
      <c r="BB51" s="278"/>
    </row>
    <row r="52" spans="1:54" ht="15.6" customHeight="1">
      <c r="A52" s="7">
        <v>48</v>
      </c>
      <c r="B52" s="4" t="e">
        <f>#REF!</f>
        <v>#REF!</v>
      </c>
      <c r="C52" s="4" t="e">
        <f>#REF!</f>
        <v>#REF!</v>
      </c>
      <c r="D52" s="3" t="e">
        <f>#REF!</f>
        <v>#REF!</v>
      </c>
      <c r="E52" s="3" t="e">
        <f>#REF!</f>
        <v>#REF!</v>
      </c>
      <c r="F52" s="8" t="e">
        <f>#REF!</f>
        <v>#REF!</v>
      </c>
      <c r="G52" s="67" t="e">
        <f>#REF!</f>
        <v>#REF!</v>
      </c>
      <c r="H52" s="16" t="e">
        <f>#REF!</f>
        <v>#REF!</v>
      </c>
      <c r="I52" s="68" t="e">
        <f>#REF!</f>
        <v>#REF!</v>
      </c>
      <c r="J52" s="17" t="e">
        <f>#REF!</f>
        <v>#REF!</v>
      </c>
      <c r="K52" s="3" t="e">
        <f>#REF!</f>
        <v>#REF!</v>
      </c>
      <c r="L52" s="17" t="e">
        <f>#REF!</f>
        <v>#REF!</v>
      </c>
      <c r="M52" s="3" t="e">
        <f>#REF!</f>
        <v>#REF!</v>
      </c>
      <c r="N52" s="17" t="e">
        <f>#REF!</f>
        <v>#REF!</v>
      </c>
      <c r="O52" s="3" t="e">
        <f>#REF!</f>
        <v>#REF!</v>
      </c>
      <c r="P52" s="17" t="e">
        <f>#REF!</f>
        <v>#REF!</v>
      </c>
      <c r="Q52" s="3" t="e">
        <f>#REF!</f>
        <v>#REF!</v>
      </c>
      <c r="R52" s="17" t="e">
        <f>#REF!</f>
        <v>#REF!</v>
      </c>
      <c r="S52" s="3" t="e">
        <f>#REF!</f>
        <v>#REF!</v>
      </c>
      <c r="T52" s="17" t="e">
        <f>#REF!</f>
        <v>#REF!</v>
      </c>
      <c r="U52" s="3" t="e">
        <f>#REF!</f>
        <v>#REF!</v>
      </c>
      <c r="V52" s="17" t="e">
        <f>#REF!</f>
        <v>#REF!</v>
      </c>
      <c r="W52" s="68" t="e">
        <f>#REF!</f>
        <v>#REF!</v>
      </c>
      <c r="X52" s="16" t="e">
        <f>#REF!</f>
        <v>#REF!</v>
      </c>
      <c r="Y52" s="68" t="e">
        <f>#REF!</f>
        <v>#REF!</v>
      </c>
      <c r="Z52" s="17" t="e">
        <f>#REF!</f>
        <v>#REF!</v>
      </c>
      <c r="AA52" s="3" t="e">
        <f>#REF!</f>
        <v>#REF!</v>
      </c>
      <c r="AB52" s="17" t="e">
        <f>#REF!</f>
        <v>#REF!</v>
      </c>
      <c r="AC52" s="3" t="e">
        <f>#REF!</f>
        <v>#REF!</v>
      </c>
      <c r="AD52" s="17" t="e">
        <f>#REF!</f>
        <v>#REF!</v>
      </c>
      <c r="AE52" s="17"/>
      <c r="AF52" s="29" t="e">
        <f>#REF!</f>
        <v>#REF!</v>
      </c>
      <c r="AG52" s="29" t="e">
        <f>#REF!</f>
        <v>#REF!</v>
      </c>
      <c r="AH52" s="29" t="e">
        <f>#REF!</f>
        <v>#REF!</v>
      </c>
      <c r="AI52" s="28" t="e">
        <f>#REF!</f>
        <v>#REF!</v>
      </c>
      <c r="AJ52" s="29" t="e">
        <f>#REF!</f>
        <v>#REF!</v>
      </c>
      <c r="AK52" s="29" t="e">
        <f>#REF!</f>
        <v>#REF!</v>
      </c>
      <c r="AL52" s="29"/>
      <c r="AM52" s="29"/>
      <c r="AN52" s="37"/>
      <c r="AO52" s="37"/>
      <c r="AP52" s="37"/>
      <c r="AQ52" s="37"/>
      <c r="AR52" s="37"/>
      <c r="AS52" s="39"/>
      <c r="AT52" s="54"/>
      <c r="AY52" s="278"/>
      <c r="AZ52" s="278"/>
      <c r="BA52" s="278"/>
      <c r="BB52" s="278"/>
    </row>
    <row r="53" spans="1:54" ht="15.6" customHeight="1">
      <c r="A53" s="6">
        <v>49</v>
      </c>
      <c r="B53" s="4" t="e">
        <f>#REF!</f>
        <v>#REF!</v>
      </c>
      <c r="C53" s="4" t="e">
        <f>#REF!</f>
        <v>#REF!</v>
      </c>
      <c r="D53" s="3" t="e">
        <f>#REF!</f>
        <v>#REF!</v>
      </c>
      <c r="E53" s="3" t="e">
        <f>#REF!</f>
        <v>#REF!</v>
      </c>
      <c r="F53" s="8" t="e">
        <f>#REF!</f>
        <v>#REF!</v>
      </c>
      <c r="G53" s="67" t="e">
        <f>#REF!</f>
        <v>#REF!</v>
      </c>
      <c r="H53" s="16" t="e">
        <f>#REF!</f>
        <v>#REF!</v>
      </c>
      <c r="I53" s="68" t="e">
        <f>#REF!</f>
        <v>#REF!</v>
      </c>
      <c r="J53" s="17" t="e">
        <f>#REF!</f>
        <v>#REF!</v>
      </c>
      <c r="K53" s="3" t="e">
        <f>#REF!</f>
        <v>#REF!</v>
      </c>
      <c r="L53" s="17" t="e">
        <f>#REF!</f>
        <v>#REF!</v>
      </c>
      <c r="M53" s="3" t="e">
        <f>#REF!</f>
        <v>#REF!</v>
      </c>
      <c r="N53" s="17" t="e">
        <f>#REF!</f>
        <v>#REF!</v>
      </c>
      <c r="O53" s="3" t="e">
        <f>#REF!</f>
        <v>#REF!</v>
      </c>
      <c r="P53" s="17" t="e">
        <f>#REF!</f>
        <v>#REF!</v>
      </c>
      <c r="Q53" s="3" t="e">
        <f>#REF!</f>
        <v>#REF!</v>
      </c>
      <c r="R53" s="17" t="e">
        <f>#REF!</f>
        <v>#REF!</v>
      </c>
      <c r="S53" s="3" t="e">
        <f>#REF!</f>
        <v>#REF!</v>
      </c>
      <c r="T53" s="17" t="e">
        <f>#REF!</f>
        <v>#REF!</v>
      </c>
      <c r="U53" s="3" t="e">
        <f>#REF!</f>
        <v>#REF!</v>
      </c>
      <c r="V53" s="17" t="e">
        <f>#REF!</f>
        <v>#REF!</v>
      </c>
      <c r="W53" s="68" t="e">
        <f>#REF!</f>
        <v>#REF!</v>
      </c>
      <c r="X53" s="16" t="e">
        <f>#REF!</f>
        <v>#REF!</v>
      </c>
      <c r="Y53" s="68" t="e">
        <f>#REF!</f>
        <v>#REF!</v>
      </c>
      <c r="Z53" s="17" t="e">
        <f>#REF!</f>
        <v>#REF!</v>
      </c>
      <c r="AA53" s="3" t="e">
        <f>#REF!</f>
        <v>#REF!</v>
      </c>
      <c r="AB53" s="17" t="e">
        <f>#REF!</f>
        <v>#REF!</v>
      </c>
      <c r="AC53" s="3" t="e">
        <f>#REF!</f>
        <v>#REF!</v>
      </c>
      <c r="AD53" s="17" t="e">
        <f>#REF!</f>
        <v>#REF!</v>
      </c>
      <c r="AE53" s="17"/>
      <c r="AF53" s="29" t="e">
        <f>#REF!</f>
        <v>#REF!</v>
      </c>
      <c r="AG53" s="29" t="e">
        <f>#REF!</f>
        <v>#REF!</v>
      </c>
      <c r="AH53" s="29" t="e">
        <f>#REF!</f>
        <v>#REF!</v>
      </c>
      <c r="AI53" s="28" t="e">
        <f>#REF!</f>
        <v>#REF!</v>
      </c>
      <c r="AJ53" s="29" t="e">
        <f>#REF!</f>
        <v>#REF!</v>
      </c>
      <c r="AK53" s="29" t="e">
        <f>#REF!</f>
        <v>#REF!</v>
      </c>
      <c r="AL53" s="29"/>
      <c r="AM53" s="29"/>
      <c r="AN53" s="37"/>
      <c r="AO53" s="37"/>
      <c r="AP53" s="37"/>
      <c r="AQ53" s="37"/>
      <c r="AR53" s="37"/>
      <c r="AS53" s="39"/>
      <c r="AT53" s="54"/>
      <c r="AY53" s="278"/>
      <c r="AZ53" s="278"/>
      <c r="BA53" s="278"/>
      <c r="BB53" s="278"/>
    </row>
    <row r="54" spans="1:54" ht="15.6" customHeight="1">
      <c r="A54" s="7">
        <v>50</v>
      </c>
      <c r="B54" s="4" t="e">
        <f>#REF!</f>
        <v>#REF!</v>
      </c>
      <c r="C54" s="4" t="e">
        <f>#REF!</f>
        <v>#REF!</v>
      </c>
      <c r="D54" s="3" t="e">
        <f>#REF!</f>
        <v>#REF!</v>
      </c>
      <c r="E54" s="3" t="e">
        <f>#REF!</f>
        <v>#REF!</v>
      </c>
      <c r="F54" s="8" t="e">
        <f>#REF!</f>
        <v>#REF!</v>
      </c>
      <c r="G54" s="67" t="e">
        <f>#REF!</f>
        <v>#REF!</v>
      </c>
      <c r="H54" s="16" t="e">
        <f>#REF!</f>
        <v>#REF!</v>
      </c>
      <c r="I54" s="68" t="e">
        <f>#REF!</f>
        <v>#REF!</v>
      </c>
      <c r="J54" s="17" t="e">
        <f>#REF!</f>
        <v>#REF!</v>
      </c>
      <c r="K54" s="3" t="e">
        <f>#REF!</f>
        <v>#REF!</v>
      </c>
      <c r="L54" s="17" t="e">
        <f>#REF!</f>
        <v>#REF!</v>
      </c>
      <c r="M54" s="3" t="e">
        <f>#REF!</f>
        <v>#REF!</v>
      </c>
      <c r="N54" s="17" t="e">
        <f>#REF!</f>
        <v>#REF!</v>
      </c>
      <c r="O54" s="3" t="e">
        <f>#REF!</f>
        <v>#REF!</v>
      </c>
      <c r="P54" s="17" t="e">
        <f>#REF!</f>
        <v>#REF!</v>
      </c>
      <c r="Q54" s="3" t="e">
        <f>#REF!</f>
        <v>#REF!</v>
      </c>
      <c r="R54" s="17" t="e">
        <f>#REF!</f>
        <v>#REF!</v>
      </c>
      <c r="S54" s="3" t="e">
        <f>#REF!</f>
        <v>#REF!</v>
      </c>
      <c r="T54" s="17" t="e">
        <f>#REF!</f>
        <v>#REF!</v>
      </c>
      <c r="U54" s="3" t="e">
        <f>#REF!</f>
        <v>#REF!</v>
      </c>
      <c r="V54" s="17" t="e">
        <f>#REF!</f>
        <v>#REF!</v>
      </c>
      <c r="W54" s="68" t="e">
        <f>#REF!</f>
        <v>#REF!</v>
      </c>
      <c r="X54" s="16" t="e">
        <f>#REF!</f>
        <v>#REF!</v>
      </c>
      <c r="Y54" s="68" t="e">
        <f>#REF!</f>
        <v>#REF!</v>
      </c>
      <c r="Z54" s="17" t="e">
        <f>#REF!</f>
        <v>#REF!</v>
      </c>
      <c r="AA54" s="3" t="e">
        <f>#REF!</f>
        <v>#REF!</v>
      </c>
      <c r="AB54" s="17" t="e">
        <f>#REF!</f>
        <v>#REF!</v>
      </c>
      <c r="AC54" s="3" t="e">
        <f>#REF!</f>
        <v>#REF!</v>
      </c>
      <c r="AD54" s="17" t="e">
        <f>#REF!</f>
        <v>#REF!</v>
      </c>
      <c r="AE54" s="17"/>
      <c r="AF54" s="29" t="e">
        <f>#REF!</f>
        <v>#REF!</v>
      </c>
      <c r="AG54" s="29" t="e">
        <f>#REF!</f>
        <v>#REF!</v>
      </c>
      <c r="AH54" s="29" t="e">
        <f>#REF!</f>
        <v>#REF!</v>
      </c>
      <c r="AI54" s="28" t="e">
        <f>#REF!</f>
        <v>#REF!</v>
      </c>
      <c r="AJ54" s="29" t="e">
        <f>#REF!</f>
        <v>#REF!</v>
      </c>
      <c r="AK54" s="29" t="e">
        <f>#REF!</f>
        <v>#REF!</v>
      </c>
      <c r="AL54" s="29"/>
      <c r="AM54" s="29"/>
      <c r="AN54" s="37"/>
      <c r="AO54" s="37"/>
      <c r="AP54" s="37"/>
      <c r="AQ54" s="37"/>
      <c r="AR54" s="37"/>
      <c r="AS54" s="39"/>
      <c r="AT54" s="54"/>
      <c r="AY54" s="278"/>
      <c r="AZ54" s="278"/>
      <c r="BA54" s="278"/>
      <c r="BB54" s="278"/>
    </row>
    <row r="55" spans="1:54" ht="15.6" customHeight="1" thickBot="1">
      <c r="A55" s="9">
        <v>51</v>
      </c>
      <c r="B55" s="4" t="e">
        <f>#REF!</f>
        <v>#REF!</v>
      </c>
      <c r="C55" s="4" t="e">
        <f>#REF!</f>
        <v>#REF!</v>
      </c>
      <c r="D55" s="3" t="e">
        <f>#REF!</f>
        <v>#REF!</v>
      </c>
      <c r="E55" s="3" t="e">
        <f>#REF!</f>
        <v>#REF!</v>
      </c>
      <c r="F55" s="8" t="e">
        <f>#REF!</f>
        <v>#REF!</v>
      </c>
      <c r="G55" s="67" t="e">
        <f>#REF!</f>
        <v>#REF!</v>
      </c>
      <c r="H55" s="16" t="e">
        <f>#REF!</f>
        <v>#REF!</v>
      </c>
      <c r="I55" s="68" t="e">
        <f>#REF!</f>
        <v>#REF!</v>
      </c>
      <c r="J55" s="57" t="e">
        <f>#REF!</f>
        <v>#REF!</v>
      </c>
      <c r="K55" s="3" t="e">
        <f>#REF!</f>
        <v>#REF!</v>
      </c>
      <c r="L55" s="57" t="e">
        <f>#REF!</f>
        <v>#REF!</v>
      </c>
      <c r="M55" s="3" t="e">
        <f>#REF!</f>
        <v>#REF!</v>
      </c>
      <c r="N55" s="57" t="e">
        <f>#REF!</f>
        <v>#REF!</v>
      </c>
      <c r="O55" s="3" t="e">
        <f>#REF!</f>
        <v>#REF!</v>
      </c>
      <c r="P55" s="57" t="e">
        <f>#REF!</f>
        <v>#REF!</v>
      </c>
      <c r="Q55" s="3" t="e">
        <f>#REF!</f>
        <v>#REF!</v>
      </c>
      <c r="R55" s="57" t="e">
        <f>#REF!</f>
        <v>#REF!</v>
      </c>
      <c r="S55" s="3" t="e">
        <f>#REF!</f>
        <v>#REF!</v>
      </c>
      <c r="T55" s="57" t="e">
        <f>#REF!</f>
        <v>#REF!</v>
      </c>
      <c r="U55" s="3" t="e">
        <f>#REF!</f>
        <v>#REF!</v>
      </c>
      <c r="V55" s="57" t="e">
        <f>#REF!</f>
        <v>#REF!</v>
      </c>
      <c r="W55" s="68" t="e">
        <f>#REF!</f>
        <v>#REF!</v>
      </c>
      <c r="X55" s="56" t="e">
        <f>#REF!</f>
        <v>#REF!</v>
      </c>
      <c r="Y55" s="68" t="e">
        <f>#REF!</f>
        <v>#REF!</v>
      </c>
      <c r="Z55" s="57" t="e">
        <f>#REF!</f>
        <v>#REF!</v>
      </c>
      <c r="AA55" s="3" t="e">
        <f>#REF!</f>
        <v>#REF!</v>
      </c>
      <c r="AB55" s="57" t="e">
        <f>#REF!</f>
        <v>#REF!</v>
      </c>
      <c r="AC55" s="3" t="e">
        <f>#REF!</f>
        <v>#REF!</v>
      </c>
      <c r="AD55" s="57" t="e">
        <f>#REF!</f>
        <v>#REF!</v>
      </c>
      <c r="AE55" s="57"/>
      <c r="AF55" s="58" t="e">
        <f>#REF!</f>
        <v>#REF!</v>
      </c>
      <c r="AG55" s="58" t="e">
        <f>#REF!</f>
        <v>#REF!</v>
      </c>
      <c r="AH55" s="58" t="e">
        <f>#REF!</f>
        <v>#REF!</v>
      </c>
      <c r="AI55" s="59" t="e">
        <f>#REF!</f>
        <v>#REF!</v>
      </c>
      <c r="AJ55" s="58" t="e">
        <f>#REF!</f>
        <v>#REF!</v>
      </c>
      <c r="AK55" s="58" t="e">
        <f>#REF!</f>
        <v>#REF!</v>
      </c>
      <c r="AL55" s="58"/>
      <c r="AM55" s="58"/>
      <c r="AN55" s="60"/>
      <c r="AO55" s="60"/>
      <c r="AP55" s="60"/>
      <c r="AQ55" s="60"/>
      <c r="AR55" s="60"/>
      <c r="AS55" s="61"/>
      <c r="AT55" s="62"/>
      <c r="AY55" s="278"/>
      <c r="AZ55" s="278"/>
      <c r="BA55" s="278"/>
      <c r="BB55" s="278"/>
    </row>
    <row r="56" spans="1:54" ht="15.75" thickBot="1">
      <c r="B56" s="10" t="e">
        <f>#REF!</f>
        <v>#REF!</v>
      </c>
      <c r="C56" s="10" t="e">
        <f>#REF!</f>
        <v>#REF!</v>
      </c>
      <c r="D56" s="11" t="e">
        <f>#REF!</f>
        <v>#REF!</v>
      </c>
      <c r="E56" s="11" t="e">
        <f>#REF!</f>
        <v>#REF!</v>
      </c>
      <c r="F56" s="55" t="e">
        <f>#REF!</f>
        <v>#REF!</v>
      </c>
      <c r="G56" s="67" t="e">
        <f>#REF!</f>
        <v>#REF!</v>
      </c>
      <c r="I56" s="68" t="e">
        <f>#REF!</f>
        <v>#REF!</v>
      </c>
      <c r="K56" s="3" t="e">
        <f>#REF!</f>
        <v>#REF!</v>
      </c>
      <c r="M56" s="3" t="e">
        <f>#REF!</f>
        <v>#REF!</v>
      </c>
      <c r="O56" s="3" t="e">
        <f>#REF!</f>
        <v>#REF!</v>
      </c>
      <c r="Q56" s="3" t="e">
        <f>#REF!</f>
        <v>#REF!</v>
      </c>
      <c r="S56" s="3" t="e">
        <f>#REF!</f>
        <v>#REF!</v>
      </c>
      <c r="U56" s="3" t="e">
        <f>#REF!</f>
        <v>#REF!</v>
      </c>
      <c r="W56" s="68" t="e">
        <f>#REF!</f>
        <v>#REF!</v>
      </c>
      <c r="Y56" s="68" t="e">
        <f>#REF!</f>
        <v>#REF!</v>
      </c>
      <c r="AA56" s="3" t="e">
        <f>#REF!</f>
        <v>#REF!</v>
      </c>
      <c r="AC56" s="3" t="e">
        <f>#REF!</f>
        <v>#REF!</v>
      </c>
    </row>
    <row r="57" spans="1:54">
      <c r="G57" s="67" t="e">
        <f>#REF!</f>
        <v>#REF!</v>
      </c>
      <c r="I57" s="68" t="e">
        <f>#REF!</f>
        <v>#REF!</v>
      </c>
      <c r="K57" s="3" t="e">
        <f>#REF!</f>
        <v>#REF!</v>
      </c>
      <c r="M57" s="3" t="e">
        <f>#REF!</f>
        <v>#REF!</v>
      </c>
      <c r="O57" s="3" t="e">
        <f>#REF!</f>
        <v>#REF!</v>
      </c>
      <c r="Q57" s="3" t="e">
        <f>#REF!</f>
        <v>#REF!</v>
      </c>
      <c r="S57" s="3" t="e">
        <f>#REF!</f>
        <v>#REF!</v>
      </c>
      <c r="U57" s="3" t="e">
        <f>#REF!</f>
        <v>#REF!</v>
      </c>
      <c r="W57" s="68" t="e">
        <f>#REF!</f>
        <v>#REF!</v>
      </c>
      <c r="Y57" s="68" t="e">
        <f>#REF!</f>
        <v>#REF!</v>
      </c>
      <c r="AA57" s="3" t="e">
        <f>#REF!</f>
        <v>#REF!</v>
      </c>
      <c r="AC57" s="3" t="e">
        <f>#REF!</f>
        <v>#REF!</v>
      </c>
    </row>
    <row r="58" spans="1:54">
      <c r="G58" s="67" t="e">
        <f>#REF!</f>
        <v>#REF!</v>
      </c>
      <c r="I58" s="68" t="e">
        <f>#REF!</f>
        <v>#REF!</v>
      </c>
      <c r="K58" s="3" t="e">
        <f>#REF!</f>
        <v>#REF!</v>
      </c>
      <c r="M58" s="3" t="e">
        <f>#REF!</f>
        <v>#REF!</v>
      </c>
      <c r="O58" s="3" t="e">
        <f>#REF!</f>
        <v>#REF!</v>
      </c>
      <c r="Q58" s="3" t="e">
        <f>#REF!</f>
        <v>#REF!</v>
      </c>
      <c r="S58" s="3" t="e">
        <f>#REF!</f>
        <v>#REF!</v>
      </c>
      <c r="U58" s="3" t="e">
        <f>#REF!</f>
        <v>#REF!</v>
      </c>
      <c r="W58" s="68" t="e">
        <f>#REF!</f>
        <v>#REF!</v>
      </c>
      <c r="Y58" s="68" t="e">
        <f>#REF!</f>
        <v>#REF!</v>
      </c>
      <c r="AA58" s="3" t="e">
        <f>#REF!</f>
        <v>#REF!</v>
      </c>
      <c r="AC58" s="3" t="e">
        <f>#REF!</f>
        <v>#REF!</v>
      </c>
    </row>
    <row r="59" spans="1:54">
      <c r="G59" s="67" t="e">
        <f>#REF!</f>
        <v>#REF!</v>
      </c>
      <c r="I59" s="68" t="e">
        <f>#REF!</f>
        <v>#REF!</v>
      </c>
      <c r="K59" s="3" t="e">
        <f>#REF!</f>
        <v>#REF!</v>
      </c>
      <c r="O59" s="3" t="e">
        <f>#REF!</f>
        <v>#REF!</v>
      </c>
      <c r="Q59" s="3" t="e">
        <f>#REF!</f>
        <v>#REF!</v>
      </c>
      <c r="S59" s="3" t="e">
        <f>#REF!</f>
        <v>#REF!</v>
      </c>
      <c r="U59" s="3" t="e">
        <f>#REF!</f>
        <v>#REF!</v>
      </c>
      <c r="W59" s="68" t="e">
        <f>#REF!</f>
        <v>#REF!</v>
      </c>
      <c r="Y59" s="68" t="e">
        <f>#REF!</f>
        <v>#REF!</v>
      </c>
      <c r="AA59" s="3" t="e">
        <f>#REF!</f>
        <v>#REF!</v>
      </c>
      <c r="AC59" s="3" t="e">
        <f>#REF!</f>
        <v>#REF!</v>
      </c>
    </row>
  </sheetData>
  <mergeCells count="59">
    <mergeCell ref="A2:A3"/>
    <mergeCell ref="B2:C3"/>
    <mergeCell ref="E2:E3"/>
    <mergeCell ref="F2:F3"/>
    <mergeCell ref="AY12:BB12"/>
    <mergeCell ref="AY3:BB4"/>
    <mergeCell ref="B4:C4"/>
    <mergeCell ref="AY5:BB5"/>
    <mergeCell ref="AY6:BB6"/>
    <mergeCell ref="AY7:BB7"/>
    <mergeCell ref="AY8:BB8"/>
    <mergeCell ref="AY9:BB9"/>
    <mergeCell ref="AY10:BB10"/>
    <mergeCell ref="AY11:BB11"/>
    <mergeCell ref="AY24:BB24"/>
    <mergeCell ref="AY13:BB13"/>
    <mergeCell ref="AY14:BB14"/>
    <mergeCell ref="AY15:BB15"/>
    <mergeCell ref="AY16:BB16"/>
    <mergeCell ref="AY17:BB17"/>
    <mergeCell ref="AY18:BB18"/>
    <mergeCell ref="AY19:BB19"/>
    <mergeCell ref="AY20:BB20"/>
    <mergeCell ref="AY21:BB21"/>
    <mergeCell ref="AY22:BB22"/>
    <mergeCell ref="AY23:BB23"/>
    <mergeCell ref="AY36:BB36"/>
    <mergeCell ref="AY25:BB25"/>
    <mergeCell ref="AY26:BB26"/>
    <mergeCell ref="AY27:BB27"/>
    <mergeCell ref="AY28:BB28"/>
    <mergeCell ref="AY29:BB29"/>
    <mergeCell ref="AY30:BB30"/>
    <mergeCell ref="AY31:BB31"/>
    <mergeCell ref="AY32:BB32"/>
    <mergeCell ref="AY33:BB33"/>
    <mergeCell ref="AY34:BB34"/>
    <mergeCell ref="AY35:BB35"/>
    <mergeCell ref="AY38:BB38"/>
    <mergeCell ref="AY39:BB39"/>
    <mergeCell ref="AY40:BB40"/>
    <mergeCell ref="AY41:BB41"/>
    <mergeCell ref="AY42:BB42"/>
    <mergeCell ref="AY55:BB55"/>
    <mergeCell ref="H2:AD2"/>
    <mergeCell ref="AF2:AT2"/>
    <mergeCell ref="AY49:BB49"/>
    <mergeCell ref="AY50:BB50"/>
    <mergeCell ref="AY51:BB51"/>
    <mergeCell ref="AY52:BB52"/>
    <mergeCell ref="AY53:BB53"/>
    <mergeCell ref="AY54:BB54"/>
    <mergeCell ref="AY43:BB43"/>
    <mergeCell ref="AY44:BB44"/>
    <mergeCell ref="AY45:BB45"/>
    <mergeCell ref="AY46:BB46"/>
    <mergeCell ref="AY47:BB47"/>
    <mergeCell ref="AY48:BB48"/>
    <mergeCell ref="AY37:BB37"/>
  </mergeCells>
  <conditionalFormatting sqref="N5:O5 N6:N55 O6:O59">
    <cfRule type="cellIs" dxfId="6" priority="16" operator="between">
      <formula>1</formula>
      <formula>15</formula>
    </cfRule>
  </conditionalFormatting>
  <conditionalFormatting sqref="L5:M5 L6:L55 M6:M58">
    <cfRule type="cellIs" dxfId="5" priority="14" operator="between">
      <formula>1</formula>
      <formula>40</formula>
    </cfRule>
    <cfRule type="cellIs" dxfId="4" priority="15" operator="between">
      <formula>1</formula>
      <formula>40</formula>
    </cfRule>
  </conditionalFormatting>
  <conditionalFormatting sqref="J5:K5 J6:J55 K6:K59">
    <cfRule type="cellIs" dxfId="3" priority="13" operator="between">
      <formula>1</formula>
      <formula>15</formula>
    </cfRule>
  </conditionalFormatting>
  <conditionalFormatting sqref="P5:Q5 P6:P55 Q6:Q59">
    <cfRule type="cellIs" dxfId="2" priority="12" operator="between">
      <formula>1</formula>
      <formula>10</formula>
    </cfRule>
  </conditionalFormatting>
  <conditionalFormatting sqref="T5:U5 T6:T55 U6:U59">
    <cfRule type="cellIs" dxfId="1" priority="11" operator="between">
      <formula>1</formula>
      <formula>10</formula>
    </cfRule>
  </conditionalFormatting>
  <conditionalFormatting sqref="AK5:AK55 Z5:AH5 Z6:Z55 AB6:AB55 AA6:AA59 AD6:AH55 AC6:AC59">
    <cfRule type="cellIs" dxfId="0" priority="10" operator="between">
      <formula>1</formula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APRIL</vt:lpstr>
      <vt:lpstr>Rekap Bulanan</vt:lpstr>
      <vt:lpstr>APRIL!Print_Area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Puskesmas Angsau</dc:creator>
  <cp:lastModifiedBy>MyPC One Pro L</cp:lastModifiedBy>
  <cp:lastPrinted>2026-04-27T04:53:53Z</cp:lastPrinted>
  <dcterms:created xsi:type="dcterms:W3CDTF">2022-04-05T00:16:00Z</dcterms:created>
  <dcterms:modified xsi:type="dcterms:W3CDTF">2026-05-06T03:40:55Z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1033-11.2.0.11440</vt:lpwstr>
  </property>
  <property fmtid="{D5CDD505-2E9C-101B-9397-08002B2CF9AE}" pid="3" name="ICV">
    <vt:lpwstr>2409DAB0463C4446AAFE3CAF60B41A7F</vt:lpwstr>
  </property>
</Properties>
</file>